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Backup\Escritorio\Lucia 2021\PAC\PAC-actualizacion\"/>
    </mc:Choice>
  </mc:AlternateContent>
  <bookViews>
    <workbookView xWindow="0" yWindow="0" windowWidth="20490" windowHeight="7650" activeTab="3"/>
  </bookViews>
  <sheets>
    <sheet name="DIRVS" sheetId="43" r:id="rId1"/>
    <sheet name="PAC con modificaciones" sheetId="48" r:id="rId2"/>
    <sheet name="2° cuatrimestre" sheetId="45" r:id="rId3"/>
    <sheet name="Gastos" sheetId="44" r:id="rId4"/>
    <sheet name="Modificaciones " sheetId="47" r:id="rId5"/>
  </sheets>
  <definedNames>
    <definedName name="_xlnm._FilterDatabase" localSheetId="2" hidden="1">'2° cuatrimestre'!$C$1:$H$22</definedName>
    <definedName name="_xlnm._FilterDatabase" localSheetId="0" hidden="1">DIRVS!$A$2:$AS$37</definedName>
    <definedName name="_xlnm._FilterDatabase" localSheetId="1" hidden="1">'PAC con modificaciones'!$A$2:$AT$42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2" i="48" l="1"/>
  <c r="N37" i="43"/>
  <c r="K30" i="44"/>
  <c r="AS36" i="48"/>
  <c r="O36" i="48"/>
  <c r="O48" i="48"/>
  <c r="AQ42" i="48"/>
  <c r="AP42" i="48"/>
  <c r="AO42" i="48"/>
  <c r="AN42" i="48"/>
  <c r="AM42" i="48"/>
  <c r="AL42" i="48"/>
  <c r="AK42" i="48"/>
  <c r="AJ42" i="48"/>
  <c r="AH42" i="48"/>
  <c r="AG42" i="48"/>
  <c r="AF42" i="48"/>
  <c r="AE42" i="48"/>
  <c r="AD42" i="48"/>
  <c r="AC42" i="48"/>
  <c r="AB42" i="48"/>
  <c r="AA42" i="48"/>
  <c r="Y42" i="48"/>
  <c r="X42" i="48"/>
  <c r="S42" i="48"/>
  <c r="R42" i="48"/>
  <c r="AI35" i="48"/>
  <c r="AS35" i="48" s="1"/>
  <c r="O35" i="48"/>
  <c r="Q35" i="48" s="1"/>
  <c r="AS34" i="48"/>
  <c r="O34" i="48"/>
  <c r="Z33" i="48"/>
  <c r="AS33" i="48" s="1"/>
  <c r="O33" i="48"/>
  <c r="Q33" i="48" s="1"/>
  <c r="AS32" i="48"/>
  <c r="O32" i="48"/>
  <c r="O31" i="48"/>
  <c r="AT31" i="48" s="1"/>
  <c r="Z30" i="48"/>
  <c r="AS30" i="48" s="1"/>
  <c r="O30" i="48"/>
  <c r="Q30" i="48" s="1"/>
  <c r="AS29" i="48"/>
  <c r="O29" i="48"/>
  <c r="Z28" i="48"/>
  <c r="AS28" i="48" s="1"/>
  <c r="O28" i="48"/>
  <c r="Q28" i="48" s="1"/>
  <c r="AS27" i="48"/>
  <c r="O27" i="48"/>
  <c r="Q27" i="48" s="1"/>
  <c r="T26" i="48"/>
  <c r="U26" i="48" s="1"/>
  <c r="O26" i="48"/>
  <c r="Q26" i="48" s="1"/>
  <c r="V25" i="48"/>
  <c r="W25" i="48" s="1"/>
  <c r="O25" i="48"/>
  <c r="Z24" i="48"/>
  <c r="AS24" i="48" s="1"/>
  <c r="O24" i="48"/>
  <c r="AS23" i="48"/>
  <c r="O23" i="48"/>
  <c r="Q23" i="48" s="1"/>
  <c r="Z22" i="48"/>
  <c r="AS22" i="48" s="1"/>
  <c r="O22" i="48"/>
  <c r="Q22" i="48" s="1"/>
  <c r="AR21" i="48"/>
  <c r="Z21" i="48"/>
  <c r="O21" i="48"/>
  <c r="Q21" i="48" s="1"/>
  <c r="Z20" i="48"/>
  <c r="AS20" i="48" s="1"/>
  <c r="O20" i="48"/>
  <c r="Q20" i="48" s="1"/>
  <c r="AR19" i="48"/>
  <c r="AI19" i="48"/>
  <c r="Z19" i="48"/>
  <c r="O19" i="48"/>
  <c r="Q19" i="48" s="1"/>
  <c r="AS18" i="48"/>
  <c r="O18" i="48"/>
  <c r="AS17" i="48"/>
  <c r="O17" i="48"/>
  <c r="AI16" i="48"/>
  <c r="AS16" i="48" s="1"/>
  <c r="O16" i="48"/>
  <c r="Q16" i="48" s="1"/>
  <c r="Z15" i="48"/>
  <c r="AS15" i="48" s="1"/>
  <c r="O15" i="48"/>
  <c r="Q15" i="48" s="1"/>
  <c r="Z14" i="48"/>
  <c r="AS14" i="48" s="1"/>
  <c r="O14" i="48"/>
  <c r="Q14" i="48" s="1"/>
  <c r="AI13" i="48"/>
  <c r="AS13" i="48" s="1"/>
  <c r="O13" i="48"/>
  <c r="Q13" i="48" s="1"/>
  <c r="Z12" i="48"/>
  <c r="AS12" i="48" s="1"/>
  <c r="O12" i="48"/>
  <c r="Q12" i="48" s="1"/>
  <c r="AI11" i="48"/>
  <c r="AS11" i="48" s="1"/>
  <c r="O11" i="48"/>
  <c r="Q11" i="48" s="1"/>
  <c r="AI10" i="48"/>
  <c r="AS10" i="48" s="1"/>
  <c r="O10" i="48"/>
  <c r="AS9" i="48"/>
  <c r="O9" i="48"/>
  <c r="Q9" i="48" s="1"/>
  <c r="AI8" i="48"/>
  <c r="AS8" i="48" s="1"/>
  <c r="O8" i="48"/>
  <c r="Q8" i="48" s="1"/>
  <c r="AI7" i="48"/>
  <c r="AS7" i="48" s="1"/>
  <c r="O7" i="48"/>
  <c r="Q7" i="48" s="1"/>
  <c r="AI6" i="48"/>
  <c r="AS6" i="48" s="1"/>
  <c r="O6" i="48"/>
  <c r="Q6" i="48" s="1"/>
  <c r="Z5" i="48"/>
  <c r="AS5" i="48" s="1"/>
  <c r="O5" i="48"/>
  <c r="Q5" i="48" s="1"/>
  <c r="Z4" i="48"/>
  <c r="AS4" i="48" s="1"/>
  <c r="O4" i="48"/>
  <c r="Q4" i="48" s="1"/>
  <c r="AR3" i="48"/>
  <c r="AI3" i="48"/>
  <c r="Z3" i="48"/>
  <c r="O3" i="48"/>
  <c r="AS21" i="48" l="1"/>
  <c r="AT36" i="48"/>
  <c r="AS19" i="48"/>
  <c r="AT19" i="48" s="1"/>
  <c r="AT32" i="48"/>
  <c r="AT24" i="48"/>
  <c r="AT29" i="48"/>
  <c r="Q32" i="48"/>
  <c r="AT9" i="48"/>
  <c r="Q24" i="48"/>
  <c r="AT27" i="48"/>
  <c r="Q29" i="48"/>
  <c r="AT34" i="48"/>
  <c r="AI42" i="48"/>
  <c r="Q36" i="48"/>
  <c r="T42" i="48"/>
  <c r="AT16" i="48"/>
  <c r="AT10" i="48"/>
  <c r="AT17" i="48"/>
  <c r="AT20" i="48"/>
  <c r="AT23" i="48"/>
  <c r="AT18" i="48"/>
  <c r="AT7" i="48"/>
  <c r="AT33" i="48"/>
  <c r="AT12" i="48"/>
  <c r="Z26" i="48"/>
  <c r="AS26" i="48" s="1"/>
  <c r="AT26" i="48" s="1"/>
  <c r="U42" i="48"/>
  <c r="AT30" i="48"/>
  <c r="W42" i="48"/>
  <c r="Z25" i="48"/>
  <c r="AS25" i="48" s="1"/>
  <c r="AT25" i="48" s="1"/>
  <c r="AT4" i="48"/>
  <c r="AT8" i="48"/>
  <c r="AT35" i="48"/>
  <c r="AR42" i="48"/>
  <c r="AT5" i="48"/>
  <c r="AT14" i="48"/>
  <c r="Q17" i="48"/>
  <c r="Q18" i="48"/>
  <c r="AT21" i="48"/>
  <c r="Q25" i="48"/>
  <c r="Q31" i="48"/>
  <c r="Q34" i="48"/>
  <c r="Q3" i="48"/>
  <c r="AS3" i="48"/>
  <c r="AT3" i="48" s="1"/>
  <c r="AT6" i="48"/>
  <c r="Q10" i="48"/>
  <c r="AT11" i="48"/>
  <c r="AT15" i="48"/>
  <c r="AT22" i="48"/>
  <c r="AT28" i="48"/>
  <c r="V42" i="48"/>
  <c r="AT13" i="48"/>
  <c r="O42" i="48"/>
  <c r="G5" i="47"/>
  <c r="AT42" i="48" l="1"/>
  <c r="AS42" i="48"/>
  <c r="Z42" i="48"/>
  <c r="K40" i="44"/>
  <c r="L41" i="44" s="1"/>
  <c r="N43" i="43"/>
  <c r="K36" i="44" l="1"/>
  <c r="K37" i="44" s="1"/>
  <c r="L9" i="44" l="1"/>
  <c r="K31" i="44"/>
  <c r="L25" i="44"/>
  <c r="K14" i="44"/>
  <c r="K2" i="44"/>
  <c r="K3" i="44" s="1"/>
  <c r="K15" i="44" l="1"/>
  <c r="Q37" i="43"/>
  <c r="R37" i="43"/>
  <c r="W37" i="43"/>
  <c r="X37" i="43"/>
  <c r="Z37" i="43"/>
  <c r="AA37" i="43"/>
  <c r="AB37" i="43"/>
  <c r="AC37" i="43"/>
  <c r="AD37" i="43"/>
  <c r="AE37" i="43"/>
  <c r="AF37" i="43"/>
  <c r="AG37" i="43"/>
  <c r="AI37" i="43"/>
  <c r="AJ37" i="43"/>
  <c r="AK37" i="43"/>
  <c r="AL37" i="43"/>
  <c r="AM37" i="43"/>
  <c r="AN37" i="43"/>
  <c r="AO37" i="43"/>
  <c r="AP37" i="43"/>
  <c r="AR36" i="43"/>
  <c r="N36" i="43"/>
  <c r="P36" i="43" s="1"/>
  <c r="AH35" i="43"/>
  <c r="AR35" i="43" s="1"/>
  <c r="N35" i="43"/>
  <c r="P35" i="43" s="1"/>
  <c r="AR34" i="43"/>
  <c r="N34" i="43"/>
  <c r="P34" i="43" s="1"/>
  <c r="Y33" i="43"/>
  <c r="AR33" i="43" s="1"/>
  <c r="N33" i="43"/>
  <c r="P33" i="43" s="1"/>
  <c r="AR32" i="43"/>
  <c r="N32" i="43"/>
  <c r="P32" i="43" s="1"/>
  <c r="N31" i="43"/>
  <c r="Y30" i="43"/>
  <c r="AR30" i="43" s="1"/>
  <c r="N30" i="43"/>
  <c r="P30" i="43" s="1"/>
  <c r="AR29" i="43"/>
  <c r="N29" i="43"/>
  <c r="P29" i="43" s="1"/>
  <c r="Y28" i="43"/>
  <c r="AR28" i="43" s="1"/>
  <c r="N28" i="43"/>
  <c r="P28" i="43" s="1"/>
  <c r="AR27" i="43"/>
  <c r="N27" i="43"/>
  <c r="P27" i="43" s="1"/>
  <c r="S26" i="43"/>
  <c r="S37" i="43" s="1"/>
  <c r="N26" i="43"/>
  <c r="P26" i="43" s="1"/>
  <c r="U25" i="43"/>
  <c r="V25" i="43" s="1"/>
  <c r="N25" i="43"/>
  <c r="P25" i="43" s="1"/>
  <c r="Y24" i="43"/>
  <c r="AR24" i="43" s="1"/>
  <c r="N24" i="43"/>
  <c r="P24" i="43" s="1"/>
  <c r="AR23" i="43"/>
  <c r="N23" i="43"/>
  <c r="P23" i="43" s="1"/>
  <c r="Y22" i="43"/>
  <c r="AR22" i="43" s="1"/>
  <c r="N22" i="43"/>
  <c r="P22" i="43" s="1"/>
  <c r="AQ21" i="43"/>
  <c r="Y21" i="43"/>
  <c r="N21" i="43"/>
  <c r="P21" i="43" s="1"/>
  <c r="Y20" i="43"/>
  <c r="AR20" i="43" s="1"/>
  <c r="N20" i="43"/>
  <c r="P20" i="43" s="1"/>
  <c r="AQ19" i="43"/>
  <c r="AH19" i="43"/>
  <c r="Y19" i="43"/>
  <c r="N19" i="43"/>
  <c r="P19" i="43" s="1"/>
  <c r="AR18" i="43"/>
  <c r="N18" i="43"/>
  <c r="P18" i="43" s="1"/>
  <c r="AR17" i="43"/>
  <c r="N17" i="43"/>
  <c r="P17" i="43" s="1"/>
  <c r="AH16" i="43"/>
  <c r="AR16" i="43" s="1"/>
  <c r="N16" i="43"/>
  <c r="P16" i="43" s="1"/>
  <c r="Y15" i="43"/>
  <c r="AR15" i="43" s="1"/>
  <c r="N15" i="43"/>
  <c r="P15" i="43" s="1"/>
  <c r="Y14" i="43"/>
  <c r="AR14" i="43" s="1"/>
  <c r="N14" i="43"/>
  <c r="P14" i="43" s="1"/>
  <c r="AH13" i="43"/>
  <c r="AR13" i="43" s="1"/>
  <c r="N13" i="43"/>
  <c r="P13" i="43" s="1"/>
  <c r="Y12" i="43"/>
  <c r="AR12" i="43" s="1"/>
  <c r="N12" i="43"/>
  <c r="P12" i="43" s="1"/>
  <c r="AH11" i="43"/>
  <c r="AR11" i="43" s="1"/>
  <c r="N11" i="43"/>
  <c r="P11" i="43" s="1"/>
  <c r="AH10" i="43"/>
  <c r="AR10" i="43" s="1"/>
  <c r="N10" i="43"/>
  <c r="P10" i="43" s="1"/>
  <c r="AR9" i="43"/>
  <c r="N9" i="43"/>
  <c r="P9" i="43" s="1"/>
  <c r="AH8" i="43"/>
  <c r="AR8" i="43" s="1"/>
  <c r="N8" i="43"/>
  <c r="P8" i="43" s="1"/>
  <c r="AH7" i="43"/>
  <c r="AR7" i="43" s="1"/>
  <c r="N7" i="43"/>
  <c r="P7" i="43" s="1"/>
  <c r="AH6" i="43"/>
  <c r="AR6" i="43" s="1"/>
  <c r="N6" i="43"/>
  <c r="P6" i="43" s="1"/>
  <c r="Y5" i="43"/>
  <c r="AR5" i="43" s="1"/>
  <c r="N5" i="43"/>
  <c r="P5" i="43" s="1"/>
  <c r="Y4" i="43"/>
  <c r="AR4" i="43" s="1"/>
  <c r="N4" i="43"/>
  <c r="P4" i="43" s="1"/>
  <c r="AQ3" i="43"/>
  <c r="AH3" i="43"/>
  <c r="Y3" i="43"/>
  <c r="N3" i="43"/>
  <c r="P3" i="43" s="1"/>
  <c r="AR3" i="43" l="1"/>
  <c r="AS3" i="43" s="1"/>
  <c r="AS31" i="43"/>
  <c r="P31" i="43"/>
  <c r="AR21" i="43"/>
  <c r="AS21" i="43" s="1"/>
  <c r="AS23" i="43"/>
  <c r="AS28" i="43"/>
  <c r="AS17" i="43"/>
  <c r="T26" i="43"/>
  <c r="Y26" i="43" s="1"/>
  <c r="AR26" i="43" s="1"/>
  <c r="AS26" i="43" s="1"/>
  <c r="AS30" i="43"/>
  <c r="AS29" i="43"/>
  <c r="AS20" i="43"/>
  <c r="AQ37" i="43"/>
  <c r="AS11" i="43"/>
  <c r="AH37" i="43"/>
  <c r="AR19" i="43"/>
  <c r="AS19" i="43" s="1"/>
  <c r="Y25" i="43"/>
  <c r="AR25" i="43" s="1"/>
  <c r="AS25" i="43" s="1"/>
  <c r="V37" i="43"/>
  <c r="AS5" i="43"/>
  <c r="AS7" i="43"/>
  <c r="AS9" i="43"/>
  <c r="AS24" i="43"/>
  <c r="U37" i="43"/>
  <c r="AS4" i="43"/>
  <c r="AS6" i="43"/>
  <c r="AS8" i="43"/>
  <c r="AS10" i="43"/>
  <c r="AS12" i="43"/>
  <c r="AS14" i="43"/>
  <c r="AS16" i="43"/>
  <c r="AS22" i="43"/>
  <c r="AS27" i="43"/>
  <c r="AS35" i="43"/>
  <c r="AS13" i="43"/>
  <c r="AS15" i="43"/>
  <c r="AS36" i="43"/>
  <c r="AS34" i="43"/>
  <c r="AS33" i="43"/>
  <c r="AS32" i="43"/>
  <c r="AS18" i="43"/>
  <c r="T37" i="43" l="1"/>
  <c r="AR37" i="43"/>
  <c r="AS37" i="43"/>
  <c r="Y37" i="43"/>
</calcChain>
</file>

<file path=xl/comments1.xml><?xml version="1.0" encoding="utf-8"?>
<comments xmlns="http://schemas.openxmlformats.org/spreadsheetml/2006/main">
  <authors>
    <author>Lucia Pinzon</author>
    <author>tc={3A9D60A9-8D3D-44DF-B43A-B60E5BA45838}</author>
  </authors>
  <commentList>
    <comment ref="N8" authorId="0" shapeId="0">
      <text>
        <r>
          <rPr>
            <b/>
            <sz val="9"/>
            <color indexed="81"/>
            <rFont val="Tahoma"/>
            <charset val="1"/>
          </rPr>
          <t>Lucia Pinzon:</t>
        </r>
        <r>
          <rPr>
            <sz val="9"/>
            <color indexed="81"/>
            <rFont val="Tahoma"/>
            <charset val="1"/>
          </rPr>
          <t xml:space="preserve">
Hay que restarle Q300.00 de los círculos.</t>
        </r>
      </text>
    </comment>
    <comment ref="F29" authorId="0" shapeId="0">
      <text>
        <r>
          <rPr>
            <b/>
            <sz val="9"/>
            <color indexed="81"/>
            <rFont val="Tahoma"/>
            <charset val="1"/>
          </rPr>
          <t>Lucia Pinzon:</t>
        </r>
        <r>
          <rPr>
            <sz val="9"/>
            <color indexed="81"/>
            <rFont val="Tahoma"/>
            <charset val="1"/>
          </rPr>
          <t xml:space="preserve">
Se cambió del 268 al 284</t>
        </r>
      </text>
    </comment>
    <comment ref="G29" authorId="1" shapeId="0">
      <text>
        <r>
          <rPr>
            <sz val="11"/>
            <color theme="1"/>
            <rFont val="Calibri"/>
            <family val="2"/>
            <scheme val="minor"/>
          </rPr>
          <t>Anteriormente era Manta vinílica</t>
        </r>
      </text>
    </comment>
    <comment ref="F30" authorId="0" shapeId="0">
      <text>
        <r>
          <rPr>
            <b/>
            <sz val="9"/>
            <color indexed="81"/>
            <rFont val="Tahoma"/>
            <charset val="1"/>
          </rPr>
          <t>Lucia Pinzon:</t>
        </r>
        <r>
          <rPr>
            <sz val="9"/>
            <color indexed="81"/>
            <rFont val="Tahoma"/>
            <charset val="1"/>
          </rPr>
          <t xml:space="preserve">
La cagó la celes y le puso renglón 122, entonces tenemos que pasar lo de este renglón al 122  para el 3er cuatrimestre.
</t>
        </r>
      </text>
    </comment>
    <comment ref="F36" authorId="0" shapeId="0">
      <text>
        <r>
          <rPr>
            <b/>
            <sz val="9"/>
            <color indexed="81"/>
            <rFont val="Tahoma"/>
            <charset val="1"/>
          </rPr>
          <t>Lucia Pinzon:</t>
        </r>
        <r>
          <rPr>
            <sz val="9"/>
            <color indexed="81"/>
            <rFont val="Tahoma"/>
            <charset val="1"/>
          </rPr>
          <t xml:space="preserve">
Se cambió, antes era 294
</t>
        </r>
      </text>
    </comment>
    <comment ref="P36" authorId="0" shapeId="0">
      <text>
        <r>
          <rPr>
            <b/>
            <sz val="9"/>
            <color indexed="81"/>
            <rFont val="Tahoma"/>
            <charset val="1"/>
          </rPr>
          <t>Lucia Pinzon:</t>
        </r>
        <r>
          <rPr>
            <sz val="9"/>
            <color indexed="81"/>
            <rFont val="Tahoma"/>
            <charset val="1"/>
          </rPr>
          <t xml:space="preserve">
Se dio la observación de que la compra de las bolsas será por este monto, ya que se le restó lo de una plaqueta.</t>
        </r>
      </text>
    </comment>
  </commentList>
</comments>
</file>

<file path=xl/comments2.xml><?xml version="1.0" encoding="utf-8"?>
<comments xmlns="http://schemas.openxmlformats.org/spreadsheetml/2006/main">
  <authors>
    <author>Lucia Pinzon</author>
  </authors>
  <commentList>
    <comment ref="O8" authorId="0" shapeId="0">
      <text>
        <r>
          <rPr>
            <b/>
            <sz val="9"/>
            <color indexed="81"/>
            <rFont val="Tahoma"/>
            <charset val="1"/>
          </rPr>
          <t>Lucia Pinzon:</t>
        </r>
        <r>
          <rPr>
            <sz val="9"/>
            <color indexed="81"/>
            <rFont val="Tahoma"/>
            <charset val="1"/>
          </rPr>
          <t xml:space="preserve">
Hay que restarle Q300.00 de los círculos.</t>
        </r>
      </text>
    </comment>
    <comment ref="F29" authorId="0" shapeId="0">
      <text>
        <r>
          <rPr>
            <b/>
            <sz val="9"/>
            <color indexed="81"/>
            <rFont val="Tahoma"/>
            <charset val="1"/>
          </rPr>
          <t>Lucia Pinzon:</t>
        </r>
        <r>
          <rPr>
            <sz val="9"/>
            <color indexed="81"/>
            <rFont val="Tahoma"/>
            <charset val="1"/>
          </rPr>
          <t xml:space="preserve">
Se cambió del 268 al 284</t>
        </r>
      </text>
    </comment>
    <comment ref="G29" authorId="0" shapeId="0">
      <text>
        <r>
          <rPr>
            <b/>
            <sz val="9"/>
            <color indexed="81"/>
            <rFont val="Tahoma"/>
            <family val="2"/>
          </rPr>
          <t>Lucia Pinzon:</t>
        </r>
        <r>
          <rPr>
            <sz val="9"/>
            <color indexed="81"/>
            <rFont val="Tahoma"/>
            <family val="2"/>
          </rPr>
          <t xml:space="preserve">
Antes era "mantas vinílicas"
</t>
        </r>
      </text>
    </comment>
    <comment ref="M31" authorId="0" shapeId="0">
      <text>
        <r>
          <rPr>
            <b/>
            <sz val="9"/>
            <color indexed="81"/>
            <rFont val="Tahoma"/>
            <family val="2"/>
          </rPr>
          <t>Lucia Pinzon:</t>
        </r>
        <r>
          <rPr>
            <sz val="9"/>
            <color indexed="81"/>
            <rFont val="Tahoma"/>
            <family val="2"/>
          </rPr>
          <t xml:space="preserve">
Antes se habían cotizado a Q10.00
</t>
        </r>
      </text>
    </comment>
    <comment ref="N31" authorId="0" shapeId="0">
      <text>
        <r>
          <rPr>
            <b/>
            <sz val="9"/>
            <color indexed="81"/>
            <rFont val="Tahoma"/>
            <family val="2"/>
          </rPr>
          <t>Lucia Pinzon:</t>
        </r>
        <r>
          <rPr>
            <sz val="9"/>
            <color indexed="81"/>
            <rFont val="Tahoma"/>
            <family val="2"/>
          </rPr>
          <t xml:space="preserve">
Se le sumaron Q50.00 que sobraron de los Q10,000.00 de las mantas vinílicas, se puede usar para manta del progreso.
</t>
        </r>
      </text>
    </comment>
    <comment ref="L35" authorId="0" shapeId="0">
      <text>
        <r>
          <rPr>
            <b/>
            <sz val="9"/>
            <color indexed="81"/>
            <rFont val="Tahoma"/>
            <family val="2"/>
          </rPr>
          <t>Lucia Pinzon:</t>
        </r>
        <r>
          <rPr>
            <sz val="9"/>
            <color indexed="81"/>
            <rFont val="Tahoma"/>
            <family val="2"/>
          </rPr>
          <t xml:space="preserve">
se debe bajar el número de las memorias.
</t>
        </r>
      </text>
    </comment>
    <comment ref="N35" authorId="0" shapeId="0">
      <text>
        <r>
          <rPr>
            <b/>
            <sz val="9"/>
            <color indexed="81"/>
            <rFont val="Tahoma"/>
            <family val="2"/>
          </rPr>
          <t>Lucia Pinzon:</t>
        </r>
        <r>
          <rPr>
            <sz val="9"/>
            <color indexed="81"/>
            <rFont val="Tahoma"/>
            <family val="2"/>
          </rPr>
          <t xml:space="preserve">
Se le restó lo de la plaqueta de homenaje a Petén.
</t>
        </r>
      </text>
    </comment>
    <comment ref="F36" authorId="0" shapeId="0">
      <text>
        <r>
          <rPr>
            <b/>
            <sz val="9"/>
            <color indexed="81"/>
            <rFont val="Tahoma"/>
            <charset val="1"/>
          </rPr>
          <t>Lucia Pinzon:</t>
        </r>
        <r>
          <rPr>
            <sz val="9"/>
            <color indexed="81"/>
            <rFont val="Tahoma"/>
            <charset val="1"/>
          </rPr>
          <t xml:space="preserve">
Se cambió, antes era 294
</t>
        </r>
      </text>
    </comment>
    <comment ref="L36" authorId="0" shapeId="0">
      <text>
        <r>
          <rPr>
            <b/>
            <sz val="9"/>
            <color indexed="81"/>
            <rFont val="Tahoma"/>
            <family val="2"/>
          </rPr>
          <t>Lucia Pinzon:</t>
        </r>
        <r>
          <rPr>
            <sz val="9"/>
            <color indexed="81"/>
            <rFont val="Tahoma"/>
            <family val="2"/>
          </rPr>
          <t xml:space="preserve">
422 unidades se pedirán por el monto que tendremos
</t>
        </r>
      </text>
    </comment>
    <comment ref="F38" authorId="0" shapeId="0">
      <text>
        <r>
          <rPr>
            <b/>
            <sz val="9"/>
            <color indexed="81"/>
            <rFont val="Tahoma"/>
            <family val="2"/>
          </rPr>
          <t>Lucia Pinzon:</t>
        </r>
        <r>
          <rPr>
            <sz val="9"/>
            <color indexed="81"/>
            <rFont val="Tahoma"/>
            <family val="2"/>
          </rPr>
          <t xml:space="preserve">
Pendiente de revisar renglón.</t>
        </r>
      </text>
    </comment>
    <comment ref="N38" authorId="0" shapeId="0">
      <text>
        <r>
          <rPr>
            <b/>
            <sz val="9"/>
            <color indexed="81"/>
            <rFont val="Tahoma"/>
            <family val="2"/>
          </rPr>
          <t>Lucia Pinzon:</t>
        </r>
        <r>
          <rPr>
            <sz val="9"/>
            <color indexed="81"/>
            <rFont val="Tahoma"/>
            <family val="2"/>
          </rPr>
          <t xml:space="preserve">
Esto se le restó a las memorias por que era el mismo renglón
</t>
        </r>
      </text>
    </comment>
    <comment ref="N40" authorId="0" shapeId="0">
      <text>
        <r>
          <rPr>
            <b/>
            <sz val="9"/>
            <color indexed="81"/>
            <rFont val="Tahoma"/>
            <family val="2"/>
          </rPr>
          <t>Lucia Pinzon:</t>
        </r>
        <r>
          <rPr>
            <sz val="9"/>
            <color indexed="81"/>
            <rFont val="Tahoma"/>
            <family val="2"/>
          </rPr>
          <t xml:space="preserve">
Esto en realidad fueron Q252.00
</t>
        </r>
      </text>
    </comment>
    <comment ref="F41" authorId="0" shapeId="0">
      <text>
        <r>
          <rPr>
            <b/>
            <sz val="9"/>
            <color indexed="81"/>
            <rFont val="Tahoma"/>
            <family val="2"/>
          </rPr>
          <t>Lucia Pinzon:</t>
        </r>
        <r>
          <rPr>
            <sz val="9"/>
            <color indexed="81"/>
            <rFont val="Tahoma"/>
            <family val="2"/>
          </rPr>
          <t xml:space="preserve">
Pendiente de revisar renglón.</t>
        </r>
      </text>
    </comment>
    <comment ref="N41" authorId="0" shapeId="0">
      <text>
        <r>
          <rPr>
            <b/>
            <sz val="9"/>
            <color indexed="81"/>
            <rFont val="Tahoma"/>
            <family val="2"/>
          </rPr>
          <t>Lucia Pinzon:</t>
        </r>
        <r>
          <rPr>
            <sz val="9"/>
            <color indexed="81"/>
            <rFont val="Tahoma"/>
            <family val="2"/>
          </rPr>
          <t xml:space="preserve">
Esto hay que restarselo al renglón que se haya visto afectado. Se le restará a cualquier actividad.</t>
        </r>
      </text>
    </comment>
    <comment ref="Q41" authorId="0" shapeId="0">
      <text>
        <r>
          <rPr>
            <b/>
            <sz val="9"/>
            <color indexed="81"/>
            <rFont val="Tahoma"/>
            <charset val="1"/>
          </rPr>
          <t>Lucia Pinzon:</t>
        </r>
        <r>
          <rPr>
            <sz val="9"/>
            <color indexed="81"/>
            <rFont val="Tahoma"/>
            <charset val="1"/>
          </rPr>
          <t xml:space="preserve">
Se dio la observación de que la compra de las bolsas será por este monto, ya que se le restó lo de una plaqueta.</t>
        </r>
      </text>
    </comment>
  </commentList>
</comments>
</file>

<file path=xl/comments3.xml><?xml version="1.0" encoding="utf-8"?>
<comments xmlns="http://schemas.openxmlformats.org/spreadsheetml/2006/main">
  <authors>
    <author>Lucia Pinzon</author>
  </authors>
  <commentList>
    <comment ref="F40" authorId="0" shapeId="0">
      <text>
        <r>
          <rPr>
            <b/>
            <sz val="9"/>
            <color indexed="81"/>
            <rFont val="Tahoma"/>
            <charset val="1"/>
          </rPr>
          <t>Lucia Pinzon:</t>
        </r>
        <r>
          <rPr>
            <sz val="9"/>
            <color indexed="81"/>
            <rFont val="Tahoma"/>
            <charset val="1"/>
          </rPr>
          <t xml:space="preserve">
Se cambió del 268 al 284</t>
        </r>
      </text>
    </comment>
  </commentList>
</comments>
</file>

<file path=xl/sharedStrings.xml><?xml version="1.0" encoding="utf-8"?>
<sst xmlns="http://schemas.openxmlformats.org/spreadsheetml/2006/main" count="680" uniqueCount="170">
  <si>
    <t>ENERO</t>
  </si>
  <si>
    <t>FEBRERO</t>
  </si>
  <si>
    <t>MARZO</t>
  </si>
  <si>
    <t>ABRIL</t>
  </si>
  <si>
    <t>TOTAL</t>
  </si>
  <si>
    <t>MAYO</t>
  </si>
  <si>
    <t>JUNIO</t>
  </si>
  <si>
    <t xml:space="preserve">JULIO </t>
  </si>
  <si>
    <t>AGOSTO</t>
  </si>
  <si>
    <t xml:space="preserve">TOTAL </t>
  </si>
  <si>
    <t>SEPTIEMBRE</t>
  </si>
  <si>
    <t>OCTUBRE</t>
  </si>
  <si>
    <t>NOVIEMBRE</t>
  </si>
  <si>
    <t>DICIEMBRE</t>
  </si>
  <si>
    <t xml:space="preserve">TOTAL   </t>
  </si>
  <si>
    <t>DIFERENCIA</t>
  </si>
  <si>
    <t>DIRECCIÓN / UNIDAD</t>
  </si>
  <si>
    <t>Actividad</t>
  </si>
  <si>
    <t>GRUPO</t>
  </si>
  <si>
    <t>RENGLÓN</t>
  </si>
  <si>
    <t>UNIDAD MEDIDA</t>
  </si>
  <si>
    <t>CANTIDAD</t>
  </si>
  <si>
    <t>PRECIO UNITARIO</t>
  </si>
  <si>
    <t>TOTAL  Q</t>
  </si>
  <si>
    <t>Cantidad Estimada</t>
  </si>
  <si>
    <t>Monto Estimado</t>
  </si>
  <si>
    <t>PRIMER CUATRIMESTRE</t>
  </si>
  <si>
    <t>SEGUNDO CUATRIMESTRE</t>
  </si>
  <si>
    <t>TERCER CUATRIMESTRE</t>
  </si>
  <si>
    <t xml:space="preserve"> </t>
  </si>
  <si>
    <t>UNIDAD</t>
  </si>
  <si>
    <t>Unidad</t>
  </si>
  <si>
    <t>Viáticos al interior</t>
  </si>
  <si>
    <t>Camisas para trabajo diario</t>
  </si>
  <si>
    <t xml:space="preserve">Dirección contra la Violencia Sexual </t>
  </si>
  <si>
    <t>paquete</t>
  </si>
  <si>
    <t xml:space="preserve">Unidades </t>
  </si>
  <si>
    <t xml:space="preserve">unidades </t>
  </si>
  <si>
    <t>Impresión de círculos giratorios mediados para NNA</t>
  </si>
  <si>
    <t>Impresión de libros de cuentos de prevención para familias.</t>
  </si>
  <si>
    <t>Impresión de Leyes VET</t>
  </si>
  <si>
    <t>Impresión de compendio de Leyes en materia de violencia sexual, explotación y trata de personas</t>
  </si>
  <si>
    <t>Impresión de desplegables con mensaje de prevención VS</t>
  </si>
  <si>
    <t>Impresión de folletos media carta con consejos para padres, madres y cuidadores.</t>
  </si>
  <si>
    <t>Viáticos del personal de la Dirección contra la Violencia Sexual para asesorar REDES VET</t>
  </si>
  <si>
    <t>Días</t>
  </si>
  <si>
    <t>Personas</t>
  </si>
  <si>
    <t>Mantas vinílicas con mensaje genérico de VS</t>
  </si>
  <si>
    <t>Stickers con mensajes de prevención de VS</t>
  </si>
  <si>
    <t>Pines Violencia Sexual</t>
  </si>
  <si>
    <t>Lápices con mensaje informativo de Prevención de violencia sexual</t>
  </si>
  <si>
    <t>USB violencia sexual</t>
  </si>
  <si>
    <t>paquete (500 unidades)</t>
  </si>
  <si>
    <t>unidades</t>
  </si>
  <si>
    <t>Correlativo</t>
  </si>
  <si>
    <t>Total</t>
  </si>
  <si>
    <t>Alimento para personas en eventos de la Dirección</t>
  </si>
  <si>
    <t>Chaleco</t>
  </si>
  <si>
    <t>Carpetas con mensajes de Prevención e impresión de Rutas de Atención a VSVS</t>
  </si>
  <si>
    <t>SUB</t>
  </si>
  <si>
    <t>0001</t>
  </si>
  <si>
    <t>0002</t>
  </si>
  <si>
    <t>0005</t>
  </si>
  <si>
    <t>Playeras con mensajes de Prevención de Violencia Sexual mujeres</t>
  </si>
  <si>
    <t xml:space="preserve">Juegos de memorias (individuales) 
</t>
  </si>
  <si>
    <t>Bolsas ecológicas con mensajes de prevención de la VS comadronas</t>
  </si>
  <si>
    <t xml:space="preserve">Servicio de mensajería </t>
  </si>
  <si>
    <t>Viáticos al exterior</t>
  </si>
  <si>
    <t>Servicio de Transcripción en lectoescritura braille de mensajes informativos de los delitos VET</t>
  </si>
  <si>
    <t>Compra de hojas para Braille, para transcripción de mensajes informativos de los delitos VET</t>
  </si>
  <si>
    <t>Mupis de escritorio para clínica de VSVS</t>
  </si>
  <si>
    <t xml:space="preserve">Boleto aéreo </t>
  </si>
  <si>
    <t xml:space="preserve">NOMBRE </t>
  </si>
  <si>
    <t>CARÁCTERÍSTICAS</t>
  </si>
  <si>
    <t>CÓDIGO DE INSUMO</t>
  </si>
  <si>
    <t>CÓDIGO DE PRESENTACIÓN</t>
  </si>
  <si>
    <t>material de prevención de violencia sexual, para consultores del Plan de Prevención de delitos VET</t>
  </si>
  <si>
    <t>con  Orientación de Primeros Auxilios Psicológicos para Atención Primaria a Víctimas Sobrevivientes de Violencia Sexual</t>
  </si>
  <si>
    <t xml:space="preserve">Servicio de impresión de folleto informativo </t>
  </si>
  <si>
    <t xml:space="preserve">Servicio de impresión de hoja de consejos de bolsillo para mujeres </t>
  </si>
  <si>
    <t>Servicio de impresión de rutas de atención interinstitucional dúplex</t>
  </si>
  <si>
    <t>Servicio de impresión de guía de recomendaciones para la prevención de vs en NNA con discapacidad intelectual</t>
  </si>
  <si>
    <t>Servicio de impresión de guía de recomendaciones para psicólogos sobre el Abordaje Psicoterapéutico a Víctimas Sobrevivientes de Violencia Sexual</t>
  </si>
  <si>
    <t>Servicio de impresión de historieta en tema de prevención de la violencia sexual para adolescentes</t>
  </si>
  <si>
    <t>Servicio de impresión de impresión de círculos giratorios  Prevención de violencia Sexual</t>
  </si>
  <si>
    <t>Servicio de impresión de libros para colorear</t>
  </si>
  <si>
    <t>Servicio de impresión de libros gráficos para comadronas</t>
  </si>
  <si>
    <t>gasto</t>
  </si>
  <si>
    <t xml:space="preserve">Observaciones </t>
  </si>
  <si>
    <t>Restante</t>
  </si>
  <si>
    <t>Ejecutado</t>
  </si>
  <si>
    <t>Evento petén marzo</t>
  </si>
  <si>
    <t>María Elena Petén-Marzo</t>
  </si>
  <si>
    <t>Jessica Petén-Marzo</t>
  </si>
  <si>
    <t>Jasmín Petén-Marzo</t>
  </si>
  <si>
    <t>Lucia-Huehuetenango</t>
  </si>
  <si>
    <t>Agua pura Guastatoya</t>
  </si>
  <si>
    <t>Marzo tenemos proyectado Q6,000.00, nos quedan Q1,013.00</t>
  </si>
  <si>
    <t>Se le resta esta cantidad por la compra de una plaqueta homenaje Petén</t>
  </si>
  <si>
    <t>María Elena Zacapa-Marzo</t>
  </si>
  <si>
    <t>MATERIAL</t>
  </si>
  <si>
    <t>RESPONSABLE</t>
  </si>
  <si>
    <t>Celeste</t>
  </si>
  <si>
    <t xml:space="preserve">Mayo </t>
  </si>
  <si>
    <t>Agosto</t>
  </si>
  <si>
    <t>Lucia</t>
  </si>
  <si>
    <t>Jessica</t>
  </si>
  <si>
    <t>Julio</t>
  </si>
  <si>
    <t>Jasmin</t>
  </si>
  <si>
    <t>Astrid</t>
  </si>
  <si>
    <t>Mayo/Junio</t>
  </si>
  <si>
    <t>Mayo</t>
  </si>
  <si>
    <t>Jasmín/Astrid</t>
  </si>
  <si>
    <t>Lucia/Jasmín</t>
  </si>
  <si>
    <t>Junio</t>
  </si>
  <si>
    <t>-</t>
  </si>
  <si>
    <t>Marzo</t>
  </si>
  <si>
    <t>Abril</t>
  </si>
  <si>
    <t>1° cuatrimestre, lo que no se ejecutó</t>
  </si>
  <si>
    <t>ACT.</t>
  </si>
  <si>
    <t>SUB
PROD</t>
  </si>
  <si>
    <t>RNGL</t>
  </si>
  <si>
    <t>MODIFICAR PARA MES DE:</t>
  </si>
  <si>
    <t>ANTIGUA PROGRAMACIÓN:</t>
  </si>
  <si>
    <t>X</t>
  </si>
  <si>
    <t>Terminado</t>
  </si>
  <si>
    <t>ENTREGA PARA DESPACHO</t>
  </si>
  <si>
    <t>ENTREGA PARA DISEÑO</t>
  </si>
  <si>
    <t>Pendiente</t>
  </si>
  <si>
    <t>Servicio de impresión de folleto informativo PAP</t>
  </si>
  <si>
    <t>x</t>
  </si>
  <si>
    <t>Sticker</t>
  </si>
  <si>
    <t>Grandes</t>
  </si>
  <si>
    <t>Pequeñas</t>
  </si>
  <si>
    <t>Costo</t>
  </si>
  <si>
    <t>Envíos de paquetería hasta 22/04/2021 Guatex</t>
  </si>
  <si>
    <t>Servicio de impresión en Braille del documento propuesta unificada bifoliar VET</t>
  </si>
  <si>
    <t>Unidades</t>
  </si>
  <si>
    <t>Compra de manta para el progreso, futbol</t>
  </si>
  <si>
    <t>Evento RED VET 48 Cantones</t>
  </si>
  <si>
    <t>Así quedará lo de braille.</t>
  </si>
  <si>
    <t>Material</t>
  </si>
  <si>
    <t>Renglón viejo</t>
  </si>
  <si>
    <t>Monto</t>
  </si>
  <si>
    <t>Material nuevo</t>
  </si>
  <si>
    <t>Se agarra de Renglón</t>
  </si>
  <si>
    <t>Asígnar a renglon</t>
  </si>
  <si>
    <t>Total 189</t>
  </si>
  <si>
    <t xml:space="preserve">**Se dejó a 0 el R. 189 con Servicio de Transcripción en lectoescritura braille de mensajes informativos de los delitos VET. **Se repartió en marco para cuadro, servicio de impresión de braile y mantas vinílicas. Ver pestaña Modificaciones. </t>
  </si>
  <si>
    <t>Portabanner con mensaje genérico de VS</t>
  </si>
  <si>
    <t>Manta vinílica con mensaje genérico de VS</t>
  </si>
  <si>
    <t>*** Ya no se utilizó el dinero de las mantas vinílicas con mensaje genérico, que estaba en el R. 268 Q10,000.00, mejor se dejó para pagar excedente de stickers Q4,800.00, excedente de mupis Q2,500.00 y Q252.00 de cuadros para reconocimiento, de este dinero sobran Q2,448.00 que se usarán Q2,350.00 para alimentar el R.284 de los banners.</t>
  </si>
  <si>
    <t>Mesajería</t>
  </si>
  <si>
    <t>marcos plásticos para reconocimiento de participante de la red VET.</t>
  </si>
  <si>
    <t>Marco para cuadro madera</t>
  </si>
  <si>
    <t>Marco para cuadro plástico</t>
  </si>
  <si>
    <t>TOTAL CON CAMBIOS</t>
  </si>
  <si>
    <t>Plaqueta homenaje Petén</t>
  </si>
  <si>
    <t>Marco para cuadro de madera (actividad 5, subproducto 2</t>
  </si>
  <si>
    <t>Manta para el progreso, futbol</t>
  </si>
  <si>
    <t>*** Ya no se utilizó el dinero de las mantas vinílicas con mensaje genérico, que estaba en el R. 268 Q10,000.00, mejor se dejó para pagar excedente de stickers Q4,800.00, excedente de mupis Q2,500.00 y Q300.00 de cuadros para reconocimiento (aunque sabemos que enrealidad costaron Q252.00, de este total de dinero sobran Q2,400.00 que se usarán Q2,350.00 para alimentar el R.284 de los banners.</t>
  </si>
  <si>
    <t>Lucia El Progreso</t>
  </si>
  <si>
    <t>Jessica El Progreso</t>
  </si>
  <si>
    <t>Jasmín Alta Verapaz</t>
  </si>
  <si>
    <t>Jessica Alta Verapaz</t>
  </si>
  <si>
    <t>Lucia Totonicapán</t>
  </si>
  <si>
    <t>Jessica Totonicapán</t>
  </si>
  <si>
    <t>Evento RED VET Totonicapán</t>
  </si>
  <si>
    <t>Evento RED VET Alta Verapaz, refacciones</t>
  </si>
  <si>
    <t>Evento RED VET Alta Verapaz, desayunos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</si>
</sst>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6" formatCode="&quot;Q&quot;#,##0;[Red]\-&quot;Q&quot;#,##0"/>
    <numFmt numFmtId="8" formatCode="&quot;Q&quot;#,##0.00;[Red]\-&quot;Q&quot;#,##0.00"/>
    <numFmt numFmtId="44" formatCode="_-&quot;Q&quot;* #,##0.00_-;\-&quot;Q&quot;* #,##0.00_-;_-&quot;Q&quot;* &quot;-&quot;??_-;_-@_-"/>
    <numFmt numFmtId="43" formatCode="_-* #,##0.00_-;\-* #,##0.00_-;_-* &quot;-&quot;??_-;_-@_-"/>
    <numFmt numFmtId="164" formatCode="&quot;Q&quot;#,##0_);[Red]\(&quot;Q&quot;#,##0\)"/>
    <numFmt numFmtId="165" formatCode="_(&quot;Q&quot;* #,##0.00_);_(&quot;Q&quot;* \(#,##0.00\);_(&quot;Q&quot;* &quot;-&quot;??_);_(@_)"/>
    <numFmt numFmtId="166" formatCode="#,##0.00_ ;[Red]\-#,##0.00\ "/>
    <numFmt numFmtId="167" formatCode="_([$Q-100A]* #,##0.00_);_([$Q-100A]* \(#,##0.00\);_([$Q-100A]* &quot;-&quot;??_);_(@_)"/>
    <numFmt numFmtId="168" formatCode="_-&quot;Q&quot;* #,##0.00_-;\-&quot;Q&quot;* #,##0.00_-;_-&quot;Q&quot;* &quot;-&quot;??_-;_-@"/>
    <numFmt numFmtId="169" formatCode="0_);\(0\)"/>
    <numFmt numFmtId="170" formatCode="[$Q-100A]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4" tint="-0.249977111117893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FF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rgb="FFFFFFFF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>
      <alignment vertical="top"/>
    </xf>
    <xf numFmtId="0" fontId="2" fillId="0" borderId="0">
      <alignment vertical="top"/>
    </xf>
    <xf numFmtId="44" fontId="2" fillId="0" borderId="0" applyFont="0" applyFill="0" applyBorder="0" applyAlignment="0" applyProtection="0">
      <alignment vertical="top"/>
    </xf>
    <xf numFmtId="44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43" fontId="2" fillId="0" borderId="0" applyFont="0" applyFill="0" applyBorder="0" applyAlignment="0" applyProtection="0">
      <alignment vertical="top"/>
    </xf>
    <xf numFmtId="44" fontId="2" fillId="0" borderId="0" applyFont="0" applyFill="0" applyBorder="0" applyAlignment="0" applyProtection="0">
      <alignment vertical="top"/>
    </xf>
    <xf numFmtId="44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0" fontId="2" fillId="0" borderId="0">
      <alignment vertical="top"/>
    </xf>
    <xf numFmtId="0" fontId="3" fillId="0" borderId="0"/>
  </cellStyleXfs>
  <cellXfs count="288">
    <xf numFmtId="0" fontId="0" fillId="0" borderId="0" xfId="0"/>
    <xf numFmtId="44" fontId="6" fillId="2" borderId="1" xfId="0" applyNumberFormat="1" applyFont="1" applyFill="1" applyBorder="1" applyAlignment="1">
      <alignment horizontal="center" vertical="center" wrapText="1"/>
    </xf>
    <xf numFmtId="44" fontId="6" fillId="5" borderId="5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44" fontId="6" fillId="2" borderId="4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1" fontId="8" fillId="0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8" fillId="0" borderId="2" xfId="3" applyNumberFormat="1" applyFont="1" applyFill="1" applyBorder="1" applyAlignment="1">
      <alignment horizontal="center" vertical="center"/>
    </xf>
    <xf numFmtId="1" fontId="8" fillId="0" borderId="2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44" fontId="6" fillId="3" borderId="2" xfId="0" applyNumberFormat="1" applyFont="1" applyFill="1" applyBorder="1" applyAlignment="1">
      <alignment horizontal="center" vertical="center"/>
    </xf>
    <xf numFmtId="44" fontId="6" fillId="4" borderId="2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1" fontId="6" fillId="2" borderId="4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44" fontId="6" fillId="3" borderId="2" xfId="1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4" fontId="6" fillId="3" borderId="2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44" fontId="6" fillId="4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44" fontId="6" fillId="5" borderId="2" xfId="0" applyNumberFormat="1" applyFont="1" applyFill="1" applyBorder="1" applyAlignment="1">
      <alignment horizontal="center" vertical="center" wrapText="1"/>
    </xf>
    <xf numFmtId="44" fontId="6" fillId="5" borderId="2" xfId="1" applyNumberFormat="1" applyFont="1" applyFill="1" applyBorder="1" applyAlignment="1">
      <alignment horizontal="center" vertical="center" wrapText="1"/>
    </xf>
    <xf numFmtId="44" fontId="6" fillId="5" borderId="5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44" fontId="8" fillId="0" borderId="2" xfId="1" applyFont="1" applyBorder="1" applyAlignment="1">
      <alignment vertical="center"/>
    </xf>
    <xf numFmtId="1" fontId="8" fillId="0" borderId="2" xfId="0" applyNumberFormat="1" applyFont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168" fontId="8" fillId="0" borderId="2" xfId="0" applyNumberFormat="1" applyFont="1" applyFill="1" applyBorder="1" applyAlignment="1">
      <alignment horizontal="center" vertical="center" wrapText="1"/>
    </xf>
    <xf numFmtId="3" fontId="8" fillId="0" borderId="2" xfId="0" applyNumberFormat="1" applyFont="1" applyFill="1" applyBorder="1" applyAlignment="1">
      <alignment horizontal="center" vertical="center" wrapText="1"/>
    </xf>
    <xf numFmtId="44" fontId="6" fillId="2" borderId="2" xfId="1" applyFont="1" applyFill="1" applyBorder="1" applyAlignment="1">
      <alignment vertical="center"/>
    </xf>
    <xf numFmtId="44" fontId="6" fillId="2" borderId="5" xfId="1" applyFont="1" applyFill="1" applyBorder="1" applyAlignment="1">
      <alignment vertical="center"/>
    </xf>
    <xf numFmtId="0" fontId="4" fillId="0" borderId="0" xfId="0" applyFont="1"/>
    <xf numFmtId="44" fontId="6" fillId="2" borderId="2" xfId="1" applyFont="1" applyFill="1" applyBorder="1" applyAlignment="1">
      <alignment horizontal="center" vertical="center" wrapText="1"/>
    </xf>
    <xf numFmtId="44" fontId="6" fillId="2" borderId="5" xfId="1" applyFont="1" applyFill="1" applyBorder="1" applyAlignment="1">
      <alignment horizontal="center" vertical="center" wrapText="1"/>
    </xf>
    <xf numFmtId="44" fontId="8" fillId="0" borderId="2" xfId="1" applyFont="1" applyFill="1" applyBorder="1" applyAlignment="1">
      <alignment vertical="center" wrapText="1"/>
    </xf>
    <xf numFmtId="44" fontId="8" fillId="0" borderId="2" xfId="1" applyFont="1" applyFill="1" applyBorder="1" applyAlignment="1">
      <alignment vertical="center"/>
    </xf>
    <xf numFmtId="44" fontId="8" fillId="0" borderId="2" xfId="1" applyFont="1" applyBorder="1" applyAlignment="1"/>
    <xf numFmtId="44" fontId="8" fillId="3" borderId="2" xfId="1" applyFont="1" applyFill="1" applyBorder="1" applyAlignment="1">
      <alignment vertical="center" wrapText="1"/>
    </xf>
    <xf numFmtId="44" fontId="8" fillId="4" borderId="2" xfId="1" applyFont="1" applyFill="1" applyBorder="1" applyAlignment="1">
      <alignment vertical="center" wrapText="1"/>
    </xf>
    <xf numFmtId="44" fontId="8" fillId="4" borderId="2" xfId="1" applyFont="1" applyFill="1" applyBorder="1" applyAlignment="1"/>
    <xf numFmtId="44" fontId="8" fillId="5" borderId="2" xfId="1" applyFont="1" applyFill="1" applyBorder="1" applyAlignment="1">
      <alignment vertical="center" wrapText="1"/>
    </xf>
    <xf numFmtId="44" fontId="8" fillId="2" borderId="2" xfId="1" applyFont="1" applyFill="1" applyBorder="1" applyAlignment="1">
      <alignment vertical="center" wrapText="1"/>
    </xf>
    <xf numFmtId="44" fontId="8" fillId="0" borderId="2" xfId="1" applyFont="1" applyFill="1" applyBorder="1" applyAlignment="1">
      <alignment horizontal="center" vertical="center"/>
    </xf>
    <xf numFmtId="44" fontId="8" fillId="0" borderId="2" xfId="1" applyFont="1" applyBorder="1" applyAlignment="1">
      <alignment horizontal="center" vertical="center" wrapText="1"/>
    </xf>
    <xf numFmtId="44" fontId="8" fillId="5" borderId="2" xfId="1" applyFont="1" applyFill="1" applyBorder="1" applyAlignment="1"/>
    <xf numFmtId="44" fontId="8" fillId="2" borderId="4" xfId="0" applyNumberFormat="1" applyFont="1" applyFill="1" applyBorder="1" applyAlignment="1">
      <alignment horizontal="center" vertical="center" wrapText="1"/>
    </xf>
    <xf numFmtId="44" fontId="8" fillId="0" borderId="2" xfId="1" applyFont="1" applyBorder="1" applyAlignment="1">
      <alignment horizontal="center" vertical="center"/>
    </xf>
    <xf numFmtId="44" fontId="8" fillId="4" borderId="2" xfId="1" applyFont="1" applyFill="1" applyBorder="1" applyAlignment="1">
      <alignment horizontal="center" vertical="center"/>
    </xf>
    <xf numFmtId="44" fontId="8" fillId="5" borderId="2" xfId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70" fontId="2" fillId="0" borderId="2" xfId="0" applyNumberFormat="1" applyFont="1" applyFill="1" applyBorder="1" applyAlignment="1">
      <alignment horizontal="center" vertical="center"/>
    </xf>
    <xf numFmtId="170" fontId="2" fillId="0" borderId="2" xfId="0" applyNumberFormat="1" applyFont="1" applyBorder="1" applyAlignment="1">
      <alignment horizontal="center" vertical="center"/>
    </xf>
    <xf numFmtId="170" fontId="2" fillId="3" borderId="2" xfId="0" applyNumberFormat="1" applyFont="1" applyFill="1" applyBorder="1" applyAlignment="1">
      <alignment horizontal="center" vertical="center"/>
    </xf>
    <xf numFmtId="170" fontId="2" fillId="4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6" fillId="2" borderId="4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167" fontId="8" fillId="0" borderId="2" xfId="0" applyNumberFormat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top" wrapText="1"/>
    </xf>
    <xf numFmtId="3" fontId="8" fillId="0" borderId="5" xfId="0" applyNumberFormat="1" applyFont="1" applyFill="1" applyBorder="1" applyAlignment="1">
      <alignment horizontal="center" vertical="center" wrapText="1"/>
    </xf>
    <xf numFmtId="44" fontId="6" fillId="2" borderId="4" xfId="1" applyFont="1" applyFill="1" applyBorder="1" applyAlignment="1">
      <alignment horizontal="center" vertical="center" wrapText="1"/>
    </xf>
    <xf numFmtId="44" fontId="2" fillId="0" borderId="2" xfId="1" applyFont="1" applyFill="1" applyBorder="1" applyAlignment="1">
      <alignment horizontal="center" vertical="center"/>
    </xf>
    <xf numFmtId="44" fontId="4" fillId="0" borderId="0" xfId="1" applyFont="1"/>
    <xf numFmtId="0" fontId="8" fillId="0" borderId="3" xfId="0" applyFont="1" applyFill="1" applyBorder="1" applyAlignment="1">
      <alignment horizontal="center" vertical="center"/>
    </xf>
    <xf numFmtId="0" fontId="9" fillId="0" borderId="3" xfId="5" applyFont="1" applyFill="1" applyBorder="1" applyAlignment="1">
      <alignment horizontal="center" vertical="center"/>
    </xf>
    <xf numFmtId="170" fontId="2" fillId="5" borderId="2" xfId="0" applyNumberFormat="1" applyFont="1" applyFill="1" applyBorder="1" applyAlignment="1">
      <alignment horizontal="center" vertical="center"/>
    </xf>
    <xf numFmtId="44" fontId="6" fillId="0" borderId="0" xfId="1" applyFont="1"/>
    <xf numFmtId="44" fontId="5" fillId="2" borderId="2" xfId="1" applyFont="1" applyFill="1" applyBorder="1" applyAlignment="1">
      <alignment horizontal="center" vertical="center"/>
    </xf>
    <xf numFmtId="49" fontId="4" fillId="0" borderId="0" xfId="0" applyNumberFormat="1" applyFont="1"/>
    <xf numFmtId="49" fontId="6" fillId="2" borderId="4" xfId="0" applyNumberFormat="1" applyFont="1" applyFill="1" applyBorder="1" applyAlignment="1">
      <alignment horizontal="center" vertical="center" wrapText="1"/>
    </xf>
    <xf numFmtId="49" fontId="9" fillId="0" borderId="3" xfId="5" applyNumberFormat="1" applyFont="1" applyFill="1" applyBorder="1" applyAlignment="1">
      <alignment horizontal="center" vertical="center"/>
    </xf>
    <xf numFmtId="49" fontId="8" fillId="0" borderId="3" xfId="0" applyNumberFormat="1" applyFont="1" applyFill="1" applyBorder="1" applyAlignment="1">
      <alignment horizontal="center" vertical="center" wrapText="1"/>
    </xf>
    <xf numFmtId="49" fontId="8" fillId="0" borderId="3" xfId="0" applyNumberFormat="1" applyFont="1" applyFill="1" applyBorder="1" applyAlignment="1">
      <alignment horizontal="center" vertical="center"/>
    </xf>
    <xf numFmtId="44" fontId="6" fillId="2" borderId="2" xfId="1" applyFont="1" applyFill="1" applyBorder="1" applyAlignment="1">
      <alignment vertical="center" wrapText="1"/>
    </xf>
    <xf numFmtId="3" fontId="10" fillId="0" borderId="2" xfId="0" applyNumberFormat="1" applyFont="1" applyFill="1" applyBorder="1" applyAlignment="1">
      <alignment horizontal="center" vertical="center" wrapText="1"/>
    </xf>
    <xf numFmtId="44" fontId="10" fillId="0" borderId="2" xfId="1" applyFont="1" applyFill="1" applyBorder="1" applyAlignment="1">
      <alignment vertical="center" wrapText="1"/>
    </xf>
    <xf numFmtId="44" fontId="6" fillId="2" borderId="2" xfId="1" applyFont="1" applyFill="1" applyBorder="1" applyAlignment="1"/>
    <xf numFmtId="3" fontId="8" fillId="6" borderId="2" xfId="0" applyNumberFormat="1" applyFont="1" applyFill="1" applyBorder="1" applyAlignment="1">
      <alignment horizontal="center" vertical="center" wrapText="1"/>
    </xf>
    <xf numFmtId="44" fontId="8" fillId="6" borderId="2" xfId="1" applyFont="1" applyFill="1" applyBorder="1" applyAlignment="1">
      <alignment vertical="center" wrapText="1"/>
    </xf>
    <xf numFmtId="3" fontId="10" fillId="6" borderId="2" xfId="0" applyNumberFormat="1" applyFont="1" applyFill="1" applyBorder="1" applyAlignment="1">
      <alignment horizontal="center" vertical="center" wrapText="1"/>
    </xf>
    <xf numFmtId="44" fontId="10" fillId="6" borderId="2" xfId="1" applyFont="1" applyFill="1" applyBorder="1" applyAlignment="1">
      <alignment vertical="center" wrapText="1"/>
    </xf>
    <xf numFmtId="0" fontId="8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/>
    </xf>
    <xf numFmtId="49" fontId="2" fillId="6" borderId="3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left" vertical="top" wrapText="1"/>
    </xf>
    <xf numFmtId="0" fontId="8" fillId="6" borderId="3" xfId="0" applyFont="1" applyFill="1" applyBorder="1" applyAlignment="1">
      <alignment horizontal="center" vertical="center"/>
    </xf>
    <xf numFmtId="49" fontId="8" fillId="6" borderId="3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49" fontId="8" fillId="6" borderId="3" xfId="0" applyNumberFormat="1" applyFont="1" applyFill="1" applyBorder="1" applyAlignment="1">
      <alignment horizontal="center" vertical="center" wrapText="1"/>
    </xf>
    <xf numFmtId="1" fontId="8" fillId="6" borderId="2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left" vertical="center" wrapText="1"/>
    </xf>
    <xf numFmtId="44" fontId="8" fillId="6" borderId="2" xfId="1" applyFont="1" applyFill="1" applyBorder="1" applyAlignment="1">
      <alignment vertical="center"/>
    </xf>
    <xf numFmtId="169" fontId="8" fillId="6" borderId="2" xfId="0" applyNumberFormat="1" applyFont="1" applyFill="1" applyBorder="1" applyAlignment="1">
      <alignment horizontal="center" vertical="center" wrapText="1"/>
    </xf>
    <xf numFmtId="44" fontId="8" fillId="6" borderId="2" xfId="1" applyFont="1" applyFill="1" applyBorder="1" applyAlignment="1">
      <alignment horizontal="center" vertical="center" wrapText="1"/>
    </xf>
    <xf numFmtId="44" fontId="2" fillId="6" borderId="2" xfId="1" applyFont="1" applyFill="1" applyBorder="1" applyAlignment="1">
      <alignment horizontal="center" vertical="center"/>
    </xf>
    <xf numFmtId="1" fontId="8" fillId="6" borderId="2" xfId="0" applyNumberFormat="1" applyFont="1" applyFill="1" applyBorder="1" applyAlignment="1">
      <alignment horizontal="center" vertical="center"/>
    </xf>
    <xf numFmtId="165" fontId="4" fillId="6" borderId="2" xfId="0" applyNumberFormat="1" applyFont="1" applyFill="1" applyBorder="1" applyAlignment="1">
      <alignment vertical="top"/>
    </xf>
    <xf numFmtId="44" fontId="6" fillId="8" borderId="6" xfId="0" applyNumberFormat="1" applyFont="1" applyFill="1" applyBorder="1" applyAlignment="1">
      <alignment horizontal="center" vertical="center" wrapText="1"/>
    </xf>
    <xf numFmtId="44" fontId="6" fillId="8" borderId="2" xfId="1" applyFont="1" applyFill="1" applyBorder="1" applyAlignment="1">
      <alignment vertical="center"/>
    </xf>
    <xf numFmtId="44" fontId="6" fillId="8" borderId="2" xfId="1" applyFont="1" applyFill="1" applyBorder="1" applyAlignment="1">
      <alignment horizontal="center" vertical="center" wrapText="1"/>
    </xf>
    <xf numFmtId="44" fontId="5" fillId="8" borderId="2" xfId="1" applyFont="1" applyFill="1" applyBorder="1" applyAlignment="1">
      <alignment horizontal="center" vertical="center"/>
    </xf>
    <xf numFmtId="44" fontId="6" fillId="8" borderId="5" xfId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/>
    </xf>
    <xf numFmtId="49" fontId="8" fillId="7" borderId="3" xfId="0" applyNumberFormat="1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center" vertical="center" wrapText="1"/>
    </xf>
    <xf numFmtId="44" fontId="8" fillId="7" borderId="2" xfId="1" applyFont="1" applyFill="1" applyBorder="1" applyAlignment="1">
      <alignment vertical="center"/>
    </xf>
    <xf numFmtId="1" fontId="8" fillId="7" borderId="2" xfId="0" applyNumberFormat="1" applyFont="1" applyFill="1" applyBorder="1" applyAlignment="1">
      <alignment horizontal="center" vertical="center"/>
    </xf>
    <xf numFmtId="44" fontId="8" fillId="7" borderId="2" xfId="1" applyFont="1" applyFill="1" applyBorder="1" applyAlignment="1"/>
    <xf numFmtId="3" fontId="8" fillId="7" borderId="5" xfId="0" applyNumberFormat="1" applyFont="1" applyFill="1" applyBorder="1" applyAlignment="1">
      <alignment horizontal="center" vertical="center" wrapText="1"/>
    </xf>
    <xf numFmtId="44" fontId="8" fillId="7" borderId="2" xfId="1" applyFont="1" applyFill="1" applyBorder="1" applyAlignment="1">
      <alignment vertical="center" wrapText="1"/>
    </xf>
    <xf numFmtId="3" fontId="8" fillId="7" borderId="2" xfId="0" applyNumberFormat="1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/>
    </xf>
    <xf numFmtId="44" fontId="6" fillId="9" borderId="2" xfId="1" applyFont="1" applyFill="1" applyBorder="1" applyAlignment="1">
      <alignment horizontal="center" vertical="center" wrapText="1"/>
    </xf>
    <xf numFmtId="44" fontId="6" fillId="10" borderId="6" xfId="0" applyNumberFormat="1" applyFont="1" applyFill="1" applyBorder="1" applyAlignment="1">
      <alignment horizontal="center" vertical="center" wrapText="1"/>
    </xf>
    <xf numFmtId="44" fontId="6" fillId="10" borderId="2" xfId="1" applyFont="1" applyFill="1" applyBorder="1" applyAlignment="1">
      <alignment horizontal="center" vertical="center" wrapText="1"/>
    </xf>
    <xf numFmtId="0" fontId="0" fillId="9" borderId="2" xfId="0" applyFill="1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8" fillId="9" borderId="2" xfId="0" applyFont="1" applyFill="1" applyBorder="1" applyAlignment="1">
      <alignment horizontal="center" vertical="center" wrapText="1"/>
    </xf>
    <xf numFmtId="44" fontId="8" fillId="9" borderId="2" xfId="1" applyFont="1" applyFill="1" applyBorder="1" applyAlignment="1">
      <alignment vertical="center" wrapText="1"/>
    </xf>
    <xf numFmtId="44" fontId="0" fillId="9" borderId="2" xfId="1" applyFont="1" applyFill="1" applyBorder="1" applyAlignment="1">
      <alignment vertical="center" wrapText="1"/>
    </xf>
    <xf numFmtId="44" fontId="6" fillId="9" borderId="5" xfId="1" applyFont="1" applyFill="1" applyBorder="1" applyAlignment="1">
      <alignment horizontal="center" vertical="center" wrapText="1"/>
    </xf>
    <xf numFmtId="44" fontId="0" fillId="0" borderId="2" xfId="1" applyFont="1" applyBorder="1" applyAlignment="1">
      <alignment wrapText="1"/>
    </xf>
    <xf numFmtId="0" fontId="11" fillId="11" borderId="2" xfId="0" applyFont="1" applyFill="1" applyBorder="1" applyAlignment="1">
      <alignment wrapText="1"/>
    </xf>
    <xf numFmtId="44" fontId="11" fillId="11" borderId="2" xfId="0" applyNumberFormat="1" applyFont="1" applyFill="1" applyBorder="1" applyAlignment="1">
      <alignment wrapText="1"/>
    </xf>
    <xf numFmtId="44" fontId="11" fillId="11" borderId="2" xfId="1" applyFont="1" applyFill="1" applyBorder="1" applyAlignment="1">
      <alignment wrapText="1"/>
    </xf>
    <xf numFmtId="0" fontId="11" fillId="0" borderId="0" xfId="0" applyFont="1" applyAlignment="1">
      <alignment wrapText="1"/>
    </xf>
    <xf numFmtId="44" fontId="11" fillId="11" borderId="5" xfId="0" applyNumberFormat="1" applyFont="1" applyFill="1" applyBorder="1" applyAlignment="1">
      <alignment wrapText="1"/>
    </xf>
    <xf numFmtId="44" fontId="0" fillId="0" borderId="2" xfId="1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44" fontId="6" fillId="12" borderId="2" xfId="1" applyFont="1" applyFill="1" applyBorder="1" applyAlignment="1">
      <alignment vertical="center"/>
    </xf>
    <xf numFmtId="8" fontId="0" fillId="0" borderId="2" xfId="1" applyNumberFormat="1" applyFont="1" applyBorder="1" applyAlignment="1">
      <alignment wrapText="1"/>
    </xf>
    <xf numFmtId="0" fontId="7" fillId="13" borderId="2" xfId="0" applyFont="1" applyFill="1" applyBorder="1" applyAlignment="1">
      <alignment horizontal="center" vertical="center" wrapText="1"/>
    </xf>
    <xf numFmtId="0" fontId="8" fillId="13" borderId="3" xfId="0" applyFont="1" applyFill="1" applyBorder="1" applyAlignment="1">
      <alignment horizontal="center" vertical="center" wrapText="1"/>
    </xf>
    <xf numFmtId="49" fontId="8" fillId="13" borderId="3" xfId="0" applyNumberFormat="1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 wrapText="1"/>
    </xf>
    <xf numFmtId="167" fontId="8" fillId="13" borderId="3" xfId="0" applyNumberFormat="1" applyFont="1" applyFill="1" applyBorder="1" applyAlignment="1">
      <alignment horizontal="left" vertical="center" wrapText="1"/>
    </xf>
    <xf numFmtId="167" fontId="8" fillId="13" borderId="2" xfId="0" applyNumberFormat="1" applyFont="1" applyFill="1" applyBorder="1" applyAlignment="1">
      <alignment horizontal="center" vertical="center" wrapText="1"/>
    </xf>
    <xf numFmtId="44" fontId="8" fillId="13" borderId="2" xfId="1" applyFont="1" applyFill="1" applyBorder="1" applyAlignment="1">
      <alignment vertical="center" wrapText="1"/>
    </xf>
    <xf numFmtId="0" fontId="8" fillId="13" borderId="3" xfId="0" applyFont="1" applyFill="1" applyBorder="1" applyAlignment="1">
      <alignment horizontal="center" vertical="center"/>
    </xf>
    <xf numFmtId="49" fontId="8" fillId="13" borderId="3" xfId="0" applyNumberFormat="1" applyFont="1" applyFill="1" applyBorder="1" applyAlignment="1">
      <alignment horizontal="center" vertical="center"/>
    </xf>
    <xf numFmtId="0" fontId="8" fillId="13" borderId="5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left" vertical="center" wrapText="1"/>
    </xf>
    <xf numFmtId="44" fontId="8" fillId="13" borderId="2" xfId="1" applyFont="1" applyFill="1" applyBorder="1" applyAlignment="1">
      <alignment vertical="center"/>
    </xf>
    <xf numFmtId="0" fontId="8" fillId="13" borderId="3" xfId="0" applyFont="1" applyFill="1" applyBorder="1" applyAlignment="1">
      <alignment horizontal="left" vertical="center" wrapText="1"/>
    </xf>
    <xf numFmtId="0" fontId="8" fillId="14" borderId="2" xfId="0" applyFont="1" applyFill="1" applyBorder="1" applyAlignment="1">
      <alignment horizontal="left" vertical="center" wrapText="1"/>
    </xf>
    <xf numFmtId="0" fontId="13" fillId="0" borderId="0" xfId="0" applyFont="1"/>
    <xf numFmtId="0" fontId="13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2" fillId="15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right"/>
    </xf>
    <xf numFmtId="167" fontId="8" fillId="9" borderId="2" xfId="0" applyNumberFormat="1" applyFont="1" applyFill="1" applyBorder="1" applyAlignment="1">
      <alignment horizontal="left" vertical="center" wrapText="1"/>
    </xf>
    <xf numFmtId="0" fontId="13" fillId="0" borderId="2" xfId="0" applyFont="1" applyBorder="1" applyAlignment="1">
      <alignment horizontal="right" wrapText="1"/>
    </xf>
    <xf numFmtId="14" fontId="13" fillId="0" borderId="2" xfId="0" applyNumberFormat="1" applyFont="1" applyBorder="1" applyAlignment="1">
      <alignment horizontal="right" wrapText="1"/>
    </xf>
    <xf numFmtId="0" fontId="8" fillId="9" borderId="2" xfId="0" applyFont="1" applyFill="1" applyBorder="1" applyAlignment="1">
      <alignment horizontal="left" vertical="center" wrapText="1"/>
    </xf>
    <xf numFmtId="44" fontId="8" fillId="9" borderId="2" xfId="1" applyFont="1" applyFill="1" applyBorder="1" applyAlignment="1">
      <alignment horizontal="left" vertical="center" wrapText="1"/>
    </xf>
    <xf numFmtId="3" fontId="8" fillId="9" borderId="2" xfId="0" applyNumberFormat="1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167" fontId="8" fillId="13" borderId="3" xfId="0" applyNumberFormat="1" applyFont="1" applyFill="1" applyBorder="1" applyAlignment="1">
      <alignment vertical="center" wrapText="1"/>
    </xf>
    <xf numFmtId="0" fontId="8" fillId="13" borderId="2" xfId="0" applyFont="1" applyFill="1" applyBorder="1" applyAlignment="1">
      <alignment vertical="center" wrapText="1"/>
    </xf>
    <xf numFmtId="0" fontId="8" fillId="13" borderId="3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vertical="center" wrapText="1"/>
    </xf>
    <xf numFmtId="0" fontId="8" fillId="0" borderId="2" xfId="0" applyFont="1" applyFill="1" applyBorder="1" applyAlignment="1">
      <alignment vertical="center" wrapText="1"/>
    </xf>
    <xf numFmtId="166" fontId="8" fillId="6" borderId="2" xfId="0" applyNumberFormat="1" applyFont="1" applyFill="1" applyBorder="1" applyAlignment="1">
      <alignment vertical="center" wrapText="1"/>
    </xf>
    <xf numFmtId="0" fontId="2" fillId="6" borderId="2" xfId="0" applyFont="1" applyFill="1" applyBorder="1" applyAlignment="1">
      <alignment vertical="top" wrapText="1"/>
    </xf>
    <xf numFmtId="0" fontId="8" fillId="7" borderId="2" xfId="0" applyFont="1" applyFill="1" applyBorder="1" applyAlignment="1">
      <alignment vertical="center" wrapText="1"/>
    </xf>
    <xf numFmtId="0" fontId="8" fillId="14" borderId="2" xfId="0" applyFont="1" applyFill="1" applyBorder="1" applyAlignment="1">
      <alignment vertical="center" wrapText="1"/>
    </xf>
    <xf numFmtId="0" fontId="4" fillId="0" borderId="0" xfId="0" applyFont="1" applyAlignment="1"/>
    <xf numFmtId="0" fontId="0" fillId="0" borderId="0" xfId="0" applyAlignment="1"/>
    <xf numFmtId="0" fontId="7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49" fontId="8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 wrapText="1"/>
    </xf>
    <xf numFmtId="167" fontId="8" fillId="0" borderId="0" xfId="0" applyNumberFormat="1" applyFont="1" applyFill="1" applyBorder="1" applyAlignment="1">
      <alignment horizontal="left" vertical="center" wrapText="1"/>
    </xf>
    <xf numFmtId="168" fontId="8" fillId="0" borderId="0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Fill="1" applyBorder="1" applyAlignment="1">
      <alignment horizontal="center" vertical="center"/>
    </xf>
    <xf numFmtId="44" fontId="8" fillId="0" borderId="0" xfId="1" applyFont="1" applyFill="1" applyBorder="1" applyAlignment="1">
      <alignment vertical="center"/>
    </xf>
    <xf numFmtId="0" fontId="11" fillId="3" borderId="2" xfId="0" applyFont="1" applyFill="1" applyBorder="1" applyAlignment="1">
      <alignment wrapText="1"/>
    </xf>
    <xf numFmtId="0" fontId="11" fillId="9" borderId="0" xfId="0" applyFont="1" applyFill="1" applyBorder="1" applyAlignment="1">
      <alignment wrapText="1"/>
    </xf>
    <xf numFmtId="44" fontId="11" fillId="9" borderId="0" xfId="0" applyNumberFormat="1" applyFont="1" applyFill="1" applyBorder="1" applyAlignment="1">
      <alignment wrapText="1"/>
    </xf>
    <xf numFmtId="0" fontId="0" fillId="9" borderId="0" xfId="0" applyFill="1" applyAlignment="1">
      <alignment wrapText="1"/>
    </xf>
    <xf numFmtId="44" fontId="6" fillId="9" borderId="0" xfId="1" applyFont="1" applyFill="1" applyBorder="1" applyAlignment="1">
      <alignment vertical="center"/>
    </xf>
    <xf numFmtId="0" fontId="8" fillId="2" borderId="0" xfId="0" applyFont="1" applyFill="1" applyBorder="1" applyAlignment="1">
      <alignment horizontal="center" vertical="center" wrapText="1"/>
    </xf>
    <xf numFmtId="8" fontId="0" fillId="0" borderId="2" xfId="0" applyNumberFormat="1" applyBorder="1" applyAlignment="1">
      <alignment wrapText="1"/>
    </xf>
    <xf numFmtId="44" fontId="6" fillId="12" borderId="2" xfId="1" applyFont="1" applyFill="1" applyBorder="1" applyAlignment="1">
      <alignment horizontal="center" vertical="center" wrapText="1"/>
    </xf>
    <xf numFmtId="44" fontId="6" fillId="12" borderId="5" xfId="1" applyFont="1" applyFill="1" applyBorder="1" applyAlignment="1">
      <alignment vertical="center"/>
    </xf>
    <xf numFmtId="0" fontId="7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49" fontId="8" fillId="4" borderId="3" xfId="0" applyNumberFormat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vertical="center" wrapText="1"/>
    </xf>
    <xf numFmtId="0" fontId="8" fillId="4" borderId="2" xfId="0" applyFont="1" applyFill="1" applyBorder="1" applyAlignment="1">
      <alignment horizontal="left" vertical="center" wrapText="1"/>
    </xf>
    <xf numFmtId="44" fontId="8" fillId="4" borderId="2" xfId="1" applyFont="1" applyFill="1" applyBorder="1" applyAlignment="1">
      <alignment vertical="center"/>
    </xf>
    <xf numFmtId="44" fontId="6" fillId="4" borderId="2" xfId="1" applyFont="1" applyFill="1" applyBorder="1" applyAlignment="1">
      <alignment vertical="center"/>
    </xf>
    <xf numFmtId="44" fontId="6" fillId="4" borderId="2" xfId="1" applyFont="1" applyFill="1" applyBorder="1" applyAlignment="1">
      <alignment horizontal="center" vertical="center" wrapText="1"/>
    </xf>
    <xf numFmtId="3" fontId="8" fillId="4" borderId="2" xfId="0" applyNumberFormat="1" applyFont="1" applyFill="1" applyBorder="1" applyAlignment="1">
      <alignment horizontal="center" vertical="center" wrapText="1"/>
    </xf>
    <xf numFmtId="44" fontId="6" fillId="4" borderId="2" xfId="1" applyFont="1" applyFill="1" applyBorder="1" applyAlignment="1">
      <alignment vertical="center" wrapText="1"/>
    </xf>
    <xf numFmtId="0" fontId="0" fillId="4" borderId="0" xfId="0" applyFill="1"/>
    <xf numFmtId="44" fontId="11" fillId="8" borderId="2" xfId="1" applyFont="1" applyFill="1" applyBorder="1" applyAlignment="1">
      <alignment wrapText="1"/>
    </xf>
    <xf numFmtId="0" fontId="7" fillId="9" borderId="2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49" fontId="8" fillId="9" borderId="3" xfId="0" applyNumberFormat="1" applyFont="1" applyFill="1" applyBorder="1" applyAlignment="1">
      <alignment horizontal="center" vertical="center"/>
    </xf>
    <xf numFmtId="0" fontId="8" fillId="9" borderId="2" xfId="0" applyFont="1" applyFill="1" applyBorder="1" applyAlignment="1">
      <alignment vertical="center" wrapText="1"/>
    </xf>
    <xf numFmtId="44" fontId="8" fillId="9" borderId="2" xfId="1" applyFont="1" applyFill="1" applyBorder="1" applyAlignment="1">
      <alignment vertical="center"/>
    </xf>
    <xf numFmtId="0" fontId="7" fillId="9" borderId="0" xfId="0" applyFont="1" applyFill="1" applyBorder="1" applyAlignment="1">
      <alignment horizontal="center" vertical="center" wrapText="1"/>
    </xf>
    <xf numFmtId="0" fontId="8" fillId="9" borderId="0" xfId="0" applyFont="1" applyFill="1" applyBorder="1" applyAlignment="1">
      <alignment horizontal="center" vertical="center" wrapText="1"/>
    </xf>
    <xf numFmtId="49" fontId="8" fillId="9" borderId="0" xfId="0" applyNumberFormat="1" applyFont="1" applyFill="1" applyBorder="1" applyAlignment="1">
      <alignment horizontal="center" vertical="center" wrapText="1"/>
    </xf>
    <xf numFmtId="0" fontId="8" fillId="9" borderId="0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vertical="center" wrapText="1"/>
    </xf>
    <xf numFmtId="167" fontId="8" fillId="9" borderId="0" xfId="0" applyNumberFormat="1" applyFont="1" applyFill="1" applyBorder="1" applyAlignment="1">
      <alignment horizontal="left" vertical="center" wrapText="1"/>
    </xf>
    <xf numFmtId="0" fontId="0" fillId="0" borderId="0" xfId="0" applyFont="1"/>
    <xf numFmtId="0" fontId="0" fillId="0" borderId="2" xfId="0" applyBorder="1"/>
    <xf numFmtId="44" fontId="0" fillId="0" borderId="2" xfId="1" applyFont="1" applyBorder="1"/>
    <xf numFmtId="44" fontId="0" fillId="0" borderId="2" xfId="0" applyNumberFormat="1" applyBorder="1"/>
    <xf numFmtId="0" fontId="11" fillId="15" borderId="2" xfId="0" applyFont="1" applyFill="1" applyBorder="1"/>
    <xf numFmtId="44" fontId="11" fillId="15" borderId="2" xfId="1" applyFont="1" applyFill="1" applyBorder="1"/>
    <xf numFmtId="0" fontId="11" fillId="15" borderId="2" xfId="0" applyFont="1" applyFill="1" applyBorder="1" applyAlignment="1">
      <alignment horizontal="center" vertical="center"/>
    </xf>
    <xf numFmtId="8" fontId="0" fillId="0" borderId="2" xfId="0" applyNumberFormat="1" applyBorder="1"/>
    <xf numFmtId="0" fontId="4" fillId="0" borderId="0" xfId="0" applyFont="1" applyAlignment="1">
      <alignment wrapText="1"/>
    </xf>
    <xf numFmtId="44" fontId="0" fillId="0" borderId="0" xfId="1" applyFont="1"/>
    <xf numFmtId="44" fontId="6" fillId="0" borderId="2" xfId="1" applyFont="1" applyFill="1" applyBorder="1" applyAlignment="1">
      <alignment vertical="center"/>
    </xf>
    <xf numFmtId="44" fontId="6" fillId="0" borderId="2" xfId="1" applyFont="1" applyFill="1" applyBorder="1" applyAlignment="1">
      <alignment horizontal="center" vertical="center" wrapText="1"/>
    </xf>
    <xf numFmtId="44" fontId="6" fillId="0" borderId="2" xfId="1" applyFont="1" applyFill="1" applyBorder="1" applyAlignment="1">
      <alignment vertical="center" wrapText="1"/>
    </xf>
    <xf numFmtId="0" fontId="0" fillId="0" borderId="0" xfId="0" applyFill="1"/>
    <xf numFmtId="44" fontId="0" fillId="11" borderId="2" xfId="1" applyFont="1" applyFill="1" applyBorder="1"/>
    <xf numFmtId="8" fontId="0" fillId="11" borderId="2" xfId="0" applyNumberFormat="1" applyFill="1" applyBorder="1"/>
    <xf numFmtId="44" fontId="8" fillId="2" borderId="2" xfId="1" applyFont="1" applyFill="1" applyBorder="1" applyAlignment="1">
      <alignment vertical="center"/>
    </xf>
    <xf numFmtId="44" fontId="8" fillId="2" borderId="3" xfId="1" applyFont="1" applyFill="1" applyBorder="1" applyAlignment="1">
      <alignment horizontal="center" vertical="center" wrapText="1"/>
    </xf>
    <xf numFmtId="44" fontId="2" fillId="2" borderId="2" xfId="1" applyFont="1" applyFill="1" applyBorder="1" applyAlignment="1">
      <alignment horizontal="center" vertical="center"/>
    </xf>
    <xf numFmtId="44" fontId="8" fillId="2" borderId="2" xfId="1" applyFont="1" applyFill="1" applyBorder="1" applyAlignment="1">
      <alignment horizontal="center" vertical="center" wrapText="1"/>
    </xf>
    <xf numFmtId="44" fontId="8" fillId="2" borderId="5" xfId="1" applyFont="1" applyFill="1" applyBorder="1" applyAlignment="1">
      <alignment vertical="center"/>
    </xf>
    <xf numFmtId="44" fontId="8" fillId="2" borderId="5" xfId="1" applyFont="1" applyFill="1" applyBorder="1" applyAlignment="1"/>
    <xf numFmtId="44" fontId="6" fillId="18" borderId="4" xfId="0" applyNumberFormat="1" applyFont="1" applyFill="1" applyBorder="1" applyAlignment="1">
      <alignment horizontal="center" vertical="center" wrapText="1"/>
    </xf>
    <xf numFmtId="44" fontId="6" fillId="18" borderId="2" xfId="1" applyFont="1" applyFill="1" applyBorder="1" applyAlignment="1">
      <alignment vertical="center"/>
    </xf>
    <xf numFmtId="44" fontId="6" fillId="18" borderId="2" xfId="1" applyFont="1" applyFill="1" applyBorder="1" applyAlignment="1">
      <alignment horizontal="center" vertical="center" wrapText="1"/>
    </xf>
    <xf numFmtId="44" fontId="5" fillId="18" borderId="2" xfId="1" applyFont="1" applyFill="1" applyBorder="1" applyAlignment="1">
      <alignment horizontal="center" vertical="center"/>
    </xf>
    <xf numFmtId="44" fontId="6" fillId="18" borderId="5" xfId="1" applyFont="1" applyFill="1" applyBorder="1" applyAlignment="1">
      <alignment horizontal="center" vertical="center" wrapText="1"/>
    </xf>
    <xf numFmtId="44" fontId="6" fillId="18" borderId="5" xfId="1" applyFont="1" applyFill="1" applyBorder="1" applyAlignment="1">
      <alignment vertical="center"/>
    </xf>
    <xf numFmtId="44" fontId="6" fillId="8" borderId="0" xfId="1" applyFont="1" applyFill="1"/>
    <xf numFmtId="44" fontId="6" fillId="10" borderId="0" xfId="1" applyFont="1" applyFill="1"/>
    <xf numFmtId="44" fontId="8" fillId="0" borderId="5" xfId="1" applyFont="1" applyFill="1" applyBorder="1" applyAlignment="1">
      <alignment vertical="center"/>
    </xf>
    <xf numFmtId="44" fontId="6" fillId="8" borderId="3" xfId="1" applyFont="1" applyFill="1" applyBorder="1" applyAlignment="1">
      <alignment vertical="center"/>
    </xf>
    <xf numFmtId="44" fontId="18" fillId="2" borderId="2" xfId="1" applyFont="1" applyFill="1" applyBorder="1"/>
    <xf numFmtId="44" fontId="6" fillId="18" borderId="2" xfId="1" applyFont="1" applyFill="1" applyBorder="1"/>
    <xf numFmtId="0" fontId="8" fillId="12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wrapText="1"/>
    </xf>
    <xf numFmtId="0" fontId="0" fillId="17" borderId="0" xfId="0" applyFill="1" applyAlignment="1">
      <alignment horizontal="center" wrapText="1"/>
    </xf>
    <xf numFmtId="0" fontId="6" fillId="5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11" borderId="2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left" vertical="center" wrapText="1"/>
    </xf>
    <xf numFmtId="0" fontId="13" fillId="9" borderId="4" xfId="0" applyFont="1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wrapText="1"/>
    </xf>
    <xf numFmtId="0" fontId="11" fillId="8" borderId="2" xfId="0" applyFont="1" applyFill="1" applyBorder="1" applyAlignment="1">
      <alignment horizontal="left" wrapText="1"/>
    </xf>
    <xf numFmtId="0" fontId="13" fillId="19" borderId="2" xfId="0" applyFont="1" applyFill="1" applyBorder="1" applyAlignment="1">
      <alignment wrapText="1"/>
    </xf>
    <xf numFmtId="0" fontId="8" fillId="19" borderId="2" xfId="0" applyFont="1" applyFill="1" applyBorder="1" applyAlignment="1">
      <alignment horizontal="center" vertical="center" wrapText="1"/>
    </xf>
    <xf numFmtId="167" fontId="8" fillId="19" borderId="2" xfId="0" applyNumberFormat="1" applyFont="1" applyFill="1" applyBorder="1" applyAlignment="1">
      <alignment horizontal="left" vertical="center" wrapText="1"/>
    </xf>
    <xf numFmtId="0" fontId="13" fillId="19" borderId="2" xfId="0" applyFont="1" applyFill="1" applyBorder="1" applyAlignment="1">
      <alignment horizontal="right" wrapText="1"/>
    </xf>
    <xf numFmtId="0" fontId="8" fillId="19" borderId="2" xfId="0" applyFont="1" applyFill="1" applyBorder="1" applyAlignment="1">
      <alignment horizontal="left" vertical="center" wrapText="1"/>
    </xf>
    <xf numFmtId="44" fontId="8" fillId="19" borderId="2" xfId="1" applyFont="1" applyFill="1" applyBorder="1" applyAlignment="1">
      <alignment horizontal="left" vertical="center" wrapText="1"/>
    </xf>
    <xf numFmtId="167" fontId="8" fillId="20" borderId="2" xfId="0" applyNumberFormat="1" applyFont="1" applyFill="1" applyBorder="1" applyAlignment="1">
      <alignment horizontal="left" vertical="center" wrapText="1"/>
    </xf>
    <xf numFmtId="0" fontId="8" fillId="20" borderId="2" xfId="0" applyFont="1" applyFill="1" applyBorder="1" applyAlignment="1">
      <alignment horizontal="left" vertical="center" wrapText="1"/>
    </xf>
    <xf numFmtId="0" fontId="8" fillId="12" borderId="2" xfId="0" applyFont="1" applyFill="1" applyBorder="1" applyAlignment="1">
      <alignment horizontal="left" vertical="center" wrapText="1"/>
    </xf>
    <xf numFmtId="14" fontId="13" fillId="19" borderId="2" xfId="0" applyNumberFormat="1" applyFont="1" applyFill="1" applyBorder="1" applyAlignment="1">
      <alignment horizontal="right" wrapText="1"/>
    </xf>
    <xf numFmtId="0" fontId="8" fillId="21" borderId="2" xfId="0" applyFont="1" applyFill="1" applyBorder="1" applyAlignment="1">
      <alignment horizontal="left" vertical="center" wrapText="1"/>
    </xf>
    <xf numFmtId="44" fontId="8" fillId="21" borderId="2" xfId="1" applyFont="1" applyFill="1" applyBorder="1" applyAlignment="1">
      <alignment horizontal="left" vertical="center" wrapText="1"/>
    </xf>
  </cellXfs>
  <cellStyles count="15">
    <cellStyle name="Millares 2" xfId="2"/>
    <cellStyle name="Millares 2 2" xfId="12"/>
    <cellStyle name="Millares 2 3" xfId="8"/>
    <cellStyle name="Millares 3" xfId="4"/>
    <cellStyle name="Millares 3 2" xfId="9"/>
    <cellStyle name="Moneda" xfId="1" builtinId="4"/>
    <cellStyle name="Moneda 2" xfId="10"/>
    <cellStyle name="Moneda 2 2" xfId="3"/>
    <cellStyle name="Moneda 2 2 2" xfId="11"/>
    <cellStyle name="Moneda 2 2 3" xfId="7"/>
    <cellStyle name="Moneda 3" xfId="6"/>
    <cellStyle name="Normal" xfId="0" builtinId="0"/>
    <cellStyle name="Normal 2" xfId="14"/>
    <cellStyle name="Normal 3" xfId="13"/>
    <cellStyle name="Normal 4" xfId="5"/>
  </cellStyles>
  <dxfs count="0"/>
  <tableStyles count="0" defaultTableStyle="TableStyleMedium2" defaultPivotStyle="PivotStyleLight16"/>
  <colors>
    <mruColors>
      <color rgb="FF9999FF"/>
      <color rgb="FFCCCC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cia Pinzón" id="{665A98A2-8630-4DEF-9CE1-CBF066DEFED8}" userId="Lucia Pinzón" providerId="Non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9" dT="2021-05-27T16:31:28.55" personId="{665A98A2-8630-4DEF-9CE1-CBF066DEFED8}" id="{3A9D60A9-8D3D-44DF-B43A-B60E5BA45838}">
    <text>Anteriormente era Manta vinílica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51"/>
  <sheetViews>
    <sheetView zoomScale="90" zoomScaleNormal="90" workbookViewId="0">
      <pane ySplit="1" topLeftCell="A2" activePane="bottomLeft" state="frozen"/>
      <selection activeCell="N1" sqref="N1"/>
      <selection pane="bottomLeft" activeCell="G31" sqref="G31"/>
    </sheetView>
  </sheetViews>
  <sheetFormatPr baseColWidth="10" defaultRowHeight="15" x14ac:dyDescent="0.25"/>
  <cols>
    <col min="1" max="1" width="16.5703125" customWidth="1"/>
    <col min="2" max="2" width="12.7109375" customWidth="1"/>
    <col min="3" max="3" width="9.85546875" customWidth="1"/>
    <col min="4" max="4" width="8.7109375" customWidth="1"/>
    <col min="5" max="6" width="9.28515625" customWidth="1"/>
    <col min="7" max="7" width="29.85546875" style="183" customWidth="1"/>
    <col min="8" max="8" width="28.5703125" hidden="1" customWidth="1"/>
    <col min="9" max="9" width="7.28515625" hidden="1" customWidth="1"/>
    <col min="10" max="10" width="6.85546875" hidden="1" customWidth="1"/>
    <col min="11" max="11" width="13.140625" customWidth="1"/>
    <col min="12" max="12" width="9.28515625" customWidth="1"/>
    <col min="13" max="13" width="13.140625" customWidth="1"/>
    <col min="14" max="16" width="18.85546875" customWidth="1"/>
    <col min="17" max="17" width="11.42578125" customWidth="1"/>
    <col min="18" max="18" width="16.5703125" customWidth="1"/>
    <col min="19" max="19" width="14.85546875" customWidth="1"/>
    <col min="20" max="20" width="16.7109375" customWidth="1"/>
    <col min="21" max="21" width="17.5703125" customWidth="1"/>
    <col min="22" max="22" width="15.7109375" customWidth="1"/>
    <col min="23" max="23" width="12.5703125" customWidth="1"/>
    <col min="24" max="24" width="17.85546875" customWidth="1"/>
    <col min="25" max="25" width="18.5703125" customWidth="1"/>
    <col min="26" max="26" width="11.42578125" customWidth="1"/>
    <col min="27" max="27" width="15.28515625" customWidth="1"/>
    <col min="28" max="28" width="11.42578125" customWidth="1"/>
    <col min="29" max="29" width="14" customWidth="1"/>
    <col min="30" max="30" width="11.42578125" customWidth="1"/>
    <col min="31" max="31" width="14.85546875" customWidth="1"/>
    <col min="32" max="32" width="11.42578125" customWidth="1"/>
    <col min="33" max="33" width="15.140625" customWidth="1"/>
    <col min="34" max="34" width="17.140625" customWidth="1"/>
    <col min="35" max="35" width="13.140625" customWidth="1"/>
    <col min="36" max="36" width="16.85546875" customWidth="1"/>
    <col min="37" max="37" width="14.85546875" customWidth="1"/>
    <col min="38" max="38" width="14.7109375" customWidth="1"/>
    <col min="39" max="39" width="12.7109375" customWidth="1"/>
    <col min="40" max="40" width="17.5703125" customWidth="1"/>
    <col min="41" max="41" width="13.140625" customWidth="1"/>
    <col min="42" max="42" width="15.5703125" customWidth="1"/>
    <col min="43" max="43" width="17.7109375" customWidth="1"/>
    <col min="44" max="44" width="17.28515625" customWidth="1"/>
    <col min="45" max="45" width="16.42578125" customWidth="1"/>
  </cols>
  <sheetData>
    <row r="1" spans="1:45" ht="57.75" customHeight="1" x14ac:dyDescent="0.25">
      <c r="A1" s="3" t="s">
        <v>16</v>
      </c>
      <c r="B1" s="3" t="s">
        <v>54</v>
      </c>
      <c r="C1" s="14" t="s">
        <v>17</v>
      </c>
      <c r="D1" s="72" t="s">
        <v>59</v>
      </c>
      <c r="E1" s="14" t="s">
        <v>18</v>
      </c>
      <c r="F1" s="14" t="s">
        <v>19</v>
      </c>
      <c r="G1" s="171" t="s">
        <v>72</v>
      </c>
      <c r="H1" s="58" t="s">
        <v>73</v>
      </c>
      <c r="I1" s="14" t="s">
        <v>74</v>
      </c>
      <c r="J1" s="14" t="s">
        <v>75</v>
      </c>
      <c r="K1" s="14" t="s">
        <v>20</v>
      </c>
      <c r="L1" s="15" t="s">
        <v>21</v>
      </c>
      <c r="M1" s="63" t="s">
        <v>22</v>
      </c>
      <c r="N1" s="4" t="s">
        <v>23</v>
      </c>
      <c r="O1" s="104" t="s">
        <v>90</v>
      </c>
      <c r="P1" s="123" t="s">
        <v>89</v>
      </c>
      <c r="Q1" s="266" t="s">
        <v>0</v>
      </c>
      <c r="R1" s="267"/>
      <c r="S1" s="267" t="s">
        <v>1</v>
      </c>
      <c r="T1" s="267"/>
      <c r="U1" s="267" t="s">
        <v>2</v>
      </c>
      <c r="V1" s="267"/>
      <c r="W1" s="267" t="s">
        <v>3</v>
      </c>
      <c r="X1" s="267"/>
      <c r="Y1" s="12" t="s">
        <v>4</v>
      </c>
      <c r="Z1" s="268" t="s">
        <v>5</v>
      </c>
      <c r="AA1" s="268"/>
      <c r="AB1" s="268" t="s">
        <v>6</v>
      </c>
      <c r="AC1" s="268"/>
      <c r="AD1" s="268" t="s">
        <v>7</v>
      </c>
      <c r="AE1" s="268"/>
      <c r="AF1" s="268" t="s">
        <v>8</v>
      </c>
      <c r="AG1" s="268"/>
      <c r="AH1" s="13" t="s">
        <v>9</v>
      </c>
      <c r="AI1" s="265" t="s">
        <v>10</v>
      </c>
      <c r="AJ1" s="265"/>
      <c r="AK1" s="265" t="s">
        <v>11</v>
      </c>
      <c r="AL1" s="265"/>
      <c r="AM1" s="265" t="s">
        <v>12</v>
      </c>
      <c r="AN1" s="265"/>
      <c r="AO1" s="265" t="s">
        <v>13</v>
      </c>
      <c r="AP1" s="265"/>
      <c r="AQ1" s="2" t="s">
        <v>14</v>
      </c>
      <c r="AR1" s="1"/>
      <c r="AS1" s="1" t="s">
        <v>29</v>
      </c>
    </row>
    <row r="2" spans="1:45" ht="63.75" x14ac:dyDescent="0.25">
      <c r="A2" s="3" t="s">
        <v>16</v>
      </c>
      <c r="B2" s="3" t="s">
        <v>54</v>
      </c>
      <c r="C2" s="14" t="s">
        <v>17</v>
      </c>
      <c r="D2" s="72" t="s">
        <v>59</v>
      </c>
      <c r="E2" s="14" t="s">
        <v>18</v>
      </c>
      <c r="F2" s="14" t="s">
        <v>19</v>
      </c>
      <c r="G2" s="171" t="s">
        <v>72</v>
      </c>
      <c r="H2" s="58" t="s">
        <v>73</v>
      </c>
      <c r="I2" s="14" t="s">
        <v>74</v>
      </c>
      <c r="J2" s="14" t="s">
        <v>75</v>
      </c>
      <c r="K2" s="14" t="s">
        <v>20</v>
      </c>
      <c r="L2" s="15" t="s">
        <v>21</v>
      </c>
      <c r="M2" s="63" t="s">
        <v>22</v>
      </c>
      <c r="N2" s="4" t="s">
        <v>23</v>
      </c>
      <c r="O2" s="104" t="s">
        <v>90</v>
      </c>
      <c r="P2" s="123" t="s">
        <v>89</v>
      </c>
      <c r="Q2" s="16" t="s">
        <v>24</v>
      </c>
      <c r="R2" s="17" t="s">
        <v>25</v>
      </c>
      <c r="S2" s="18" t="s">
        <v>24</v>
      </c>
      <c r="T2" s="17" t="s">
        <v>25</v>
      </c>
      <c r="U2" s="18" t="s">
        <v>24</v>
      </c>
      <c r="V2" s="17" t="s">
        <v>25</v>
      </c>
      <c r="W2" s="18" t="s">
        <v>24</v>
      </c>
      <c r="X2" s="19" t="s">
        <v>25</v>
      </c>
      <c r="Y2" s="19" t="s">
        <v>26</v>
      </c>
      <c r="Z2" s="20" t="s">
        <v>24</v>
      </c>
      <c r="AA2" s="21" t="s">
        <v>25</v>
      </c>
      <c r="AB2" s="20" t="s">
        <v>24</v>
      </c>
      <c r="AC2" s="21" t="s">
        <v>25</v>
      </c>
      <c r="AD2" s="20" t="s">
        <v>24</v>
      </c>
      <c r="AE2" s="21" t="s">
        <v>25</v>
      </c>
      <c r="AF2" s="20" t="s">
        <v>24</v>
      </c>
      <c r="AG2" s="21" t="s">
        <v>25</v>
      </c>
      <c r="AH2" s="21" t="s">
        <v>27</v>
      </c>
      <c r="AI2" s="22" t="s">
        <v>24</v>
      </c>
      <c r="AJ2" s="23" t="s">
        <v>25</v>
      </c>
      <c r="AK2" s="22" t="s">
        <v>24</v>
      </c>
      <c r="AL2" s="23" t="s">
        <v>25</v>
      </c>
      <c r="AM2" s="22" t="s">
        <v>24</v>
      </c>
      <c r="AN2" s="23" t="s">
        <v>25</v>
      </c>
      <c r="AO2" s="22" t="s">
        <v>24</v>
      </c>
      <c r="AP2" s="24" t="s">
        <v>25</v>
      </c>
      <c r="AQ2" s="25" t="s">
        <v>28</v>
      </c>
      <c r="AR2" s="48" t="s">
        <v>4</v>
      </c>
      <c r="AS2" s="4" t="s">
        <v>15</v>
      </c>
    </row>
    <row r="3" spans="1:45" ht="51" x14ac:dyDescent="0.25">
      <c r="A3" s="5" t="s">
        <v>34</v>
      </c>
      <c r="B3" s="5">
        <v>8</v>
      </c>
      <c r="C3" s="29">
        <v>2</v>
      </c>
      <c r="D3" s="74" t="s">
        <v>60</v>
      </c>
      <c r="E3" s="6">
        <v>100</v>
      </c>
      <c r="F3" s="11">
        <v>114</v>
      </c>
      <c r="G3" s="172" t="s">
        <v>66</v>
      </c>
      <c r="H3" s="60" t="s">
        <v>76</v>
      </c>
      <c r="I3" s="60"/>
      <c r="J3" s="60"/>
      <c r="K3" s="30" t="s">
        <v>35</v>
      </c>
      <c r="L3" s="7">
        <v>50</v>
      </c>
      <c r="M3" s="38">
        <v>100</v>
      </c>
      <c r="N3" s="32">
        <f>M3*L3</f>
        <v>5000</v>
      </c>
      <c r="O3" s="105">
        <v>406</v>
      </c>
      <c r="P3" s="124">
        <f t="shared" ref="P3:P11" si="0">(N3-O3)</f>
        <v>4594</v>
      </c>
      <c r="Q3" s="31"/>
      <c r="R3" s="37"/>
      <c r="S3" s="31">
        <v>5</v>
      </c>
      <c r="T3" s="37">
        <v>500</v>
      </c>
      <c r="U3" s="31">
        <v>5</v>
      </c>
      <c r="V3" s="37">
        <v>500</v>
      </c>
      <c r="W3" s="31">
        <v>5</v>
      </c>
      <c r="X3" s="37">
        <v>500</v>
      </c>
      <c r="Y3" s="40">
        <f>R3+T3+V3+X3</f>
        <v>1500</v>
      </c>
      <c r="Z3" s="31">
        <v>5</v>
      </c>
      <c r="AA3" s="37">
        <v>500</v>
      </c>
      <c r="AB3" s="31">
        <v>6</v>
      </c>
      <c r="AC3" s="37">
        <v>600</v>
      </c>
      <c r="AD3" s="31">
        <v>6</v>
      </c>
      <c r="AE3" s="37">
        <v>600</v>
      </c>
      <c r="AF3" s="31">
        <v>5</v>
      </c>
      <c r="AG3" s="37">
        <v>500</v>
      </c>
      <c r="AH3" s="41">
        <f>AA3+AC3+AE3+AG3</f>
        <v>2200</v>
      </c>
      <c r="AI3" s="31">
        <v>5</v>
      </c>
      <c r="AJ3" s="37">
        <v>500</v>
      </c>
      <c r="AK3" s="31">
        <v>5</v>
      </c>
      <c r="AL3" s="37">
        <v>500</v>
      </c>
      <c r="AM3" s="31">
        <v>3</v>
      </c>
      <c r="AN3" s="37">
        <v>300</v>
      </c>
      <c r="AO3" s="31"/>
      <c r="AP3" s="37"/>
      <c r="AQ3" s="43">
        <f>AJ3+AL3+AN3+AP3</f>
        <v>1300</v>
      </c>
      <c r="AR3" s="44">
        <f>Y3+AH3+AQ3</f>
        <v>5000</v>
      </c>
      <c r="AS3" s="45">
        <f t="shared" ref="AS3:AS36" si="1">N3-AR3</f>
        <v>0</v>
      </c>
    </row>
    <row r="4" spans="1:45" ht="35.25" customHeight="1" x14ac:dyDescent="0.25">
      <c r="A4" s="144" t="s">
        <v>34</v>
      </c>
      <c r="B4" s="144">
        <v>16</v>
      </c>
      <c r="C4" s="145">
        <v>5</v>
      </c>
      <c r="D4" s="146" t="s">
        <v>61</v>
      </c>
      <c r="E4" s="147">
        <v>100</v>
      </c>
      <c r="F4" s="148">
        <v>122</v>
      </c>
      <c r="G4" s="173" t="s">
        <v>80</v>
      </c>
      <c r="H4" s="149"/>
      <c r="I4" s="149"/>
      <c r="J4" s="149"/>
      <c r="K4" s="150" t="s">
        <v>36</v>
      </c>
      <c r="L4" s="148">
        <v>3500</v>
      </c>
      <c r="M4" s="151">
        <v>1</v>
      </c>
      <c r="N4" s="35">
        <f>(L4*M4)</f>
        <v>3500</v>
      </c>
      <c r="O4" s="106"/>
      <c r="P4" s="124">
        <f t="shared" si="0"/>
        <v>3500</v>
      </c>
      <c r="Q4" s="31"/>
      <c r="R4" s="37"/>
      <c r="S4" s="31"/>
      <c r="T4" s="37"/>
      <c r="U4" s="31"/>
      <c r="V4" s="37"/>
      <c r="W4" s="31"/>
      <c r="X4" s="37"/>
      <c r="Y4" s="40">
        <f>R4+T4+V4+X4</f>
        <v>0</v>
      </c>
      <c r="Z4" s="31">
        <v>3500</v>
      </c>
      <c r="AA4" s="37">
        <v>3500</v>
      </c>
      <c r="AB4" s="31"/>
      <c r="AC4" s="37"/>
      <c r="AD4" s="31"/>
      <c r="AE4" s="37"/>
      <c r="AF4" s="31"/>
      <c r="AG4" s="37"/>
      <c r="AH4" s="41">
        <v>3500</v>
      </c>
      <c r="AI4" s="31"/>
      <c r="AJ4" s="37"/>
      <c r="AK4" s="31"/>
      <c r="AL4" s="37"/>
      <c r="AM4" s="31"/>
      <c r="AN4" s="37"/>
      <c r="AO4" s="31"/>
      <c r="AP4" s="37"/>
      <c r="AQ4" s="43"/>
      <c r="AR4" s="44">
        <f t="shared" ref="AR4:AR23" si="2">Y4+AH4+AQ4</f>
        <v>3500</v>
      </c>
      <c r="AS4" s="45">
        <f t="shared" si="1"/>
        <v>0</v>
      </c>
    </row>
    <row r="5" spans="1:45" ht="46.5" customHeight="1" x14ac:dyDescent="0.25">
      <c r="A5" s="144" t="s">
        <v>34</v>
      </c>
      <c r="B5" s="144">
        <v>16</v>
      </c>
      <c r="C5" s="145">
        <v>2</v>
      </c>
      <c r="D5" s="146" t="s">
        <v>62</v>
      </c>
      <c r="E5" s="147">
        <v>100</v>
      </c>
      <c r="F5" s="148">
        <v>122</v>
      </c>
      <c r="G5" s="173" t="s">
        <v>79</v>
      </c>
      <c r="H5" s="149"/>
      <c r="I5" s="149"/>
      <c r="J5" s="149"/>
      <c r="K5" s="150" t="s">
        <v>36</v>
      </c>
      <c r="L5" s="148">
        <v>3500</v>
      </c>
      <c r="M5" s="151">
        <v>1.5</v>
      </c>
      <c r="N5" s="32">
        <f>M5*L5</f>
        <v>5250</v>
      </c>
      <c r="O5" s="105"/>
      <c r="P5" s="124">
        <f t="shared" si="0"/>
        <v>5250</v>
      </c>
      <c r="Q5" s="31"/>
      <c r="R5" s="37"/>
      <c r="S5" s="31"/>
      <c r="T5" s="37"/>
      <c r="U5" s="31"/>
      <c r="V5" s="37"/>
      <c r="W5" s="31"/>
      <c r="X5" s="37"/>
      <c r="Y5" s="40">
        <f>R5+T5+V5+X5</f>
        <v>0</v>
      </c>
      <c r="Z5" s="31"/>
      <c r="AA5" s="37"/>
      <c r="AB5" s="31"/>
      <c r="AC5" s="37"/>
      <c r="AD5" s="31"/>
      <c r="AE5" s="37"/>
      <c r="AF5" s="31">
        <v>3500</v>
      </c>
      <c r="AG5" s="37">
        <v>5250</v>
      </c>
      <c r="AH5" s="41">
        <v>5250</v>
      </c>
      <c r="AI5" s="31"/>
      <c r="AJ5" s="37"/>
      <c r="AK5" s="31"/>
      <c r="AL5" s="37"/>
      <c r="AM5" s="31"/>
      <c r="AN5" s="37"/>
      <c r="AO5" s="31"/>
      <c r="AP5" s="37"/>
      <c r="AQ5" s="43"/>
      <c r="AR5" s="44">
        <f t="shared" si="2"/>
        <v>5250</v>
      </c>
      <c r="AS5" s="45">
        <f t="shared" si="1"/>
        <v>0</v>
      </c>
    </row>
    <row r="6" spans="1:45" ht="63.75" x14ac:dyDescent="0.25">
      <c r="A6" s="144" t="s">
        <v>34</v>
      </c>
      <c r="B6" s="144">
        <v>16</v>
      </c>
      <c r="C6" s="145">
        <v>5</v>
      </c>
      <c r="D6" s="146" t="s">
        <v>61</v>
      </c>
      <c r="E6" s="147">
        <v>100</v>
      </c>
      <c r="F6" s="148">
        <v>122</v>
      </c>
      <c r="G6" s="174" t="s">
        <v>78</v>
      </c>
      <c r="H6" s="155" t="s">
        <v>77</v>
      </c>
      <c r="I6" s="155"/>
      <c r="J6" s="155"/>
      <c r="K6" s="148" t="s">
        <v>30</v>
      </c>
      <c r="L6" s="147">
        <v>1500</v>
      </c>
      <c r="M6" s="151">
        <v>30</v>
      </c>
      <c r="N6" s="35">
        <f>(L6*M6)</f>
        <v>45000</v>
      </c>
      <c r="O6" s="106"/>
      <c r="P6" s="124">
        <f t="shared" si="0"/>
        <v>45000</v>
      </c>
      <c r="Q6" s="31"/>
      <c r="R6" s="37"/>
      <c r="S6" s="31"/>
      <c r="T6" s="37"/>
      <c r="U6" s="31"/>
      <c r="V6" s="37"/>
      <c r="W6" s="31"/>
      <c r="X6" s="37"/>
      <c r="Y6" s="40"/>
      <c r="Z6" s="31"/>
      <c r="AA6" s="37"/>
      <c r="AB6" s="31"/>
      <c r="AC6" s="37"/>
      <c r="AD6" s="31"/>
      <c r="AE6" s="37"/>
      <c r="AF6" s="31">
        <v>1500</v>
      </c>
      <c r="AG6" s="37">
        <v>45000</v>
      </c>
      <c r="AH6" s="41">
        <f>AA6+AC6+AE6+AG6</f>
        <v>45000</v>
      </c>
      <c r="AI6" s="31"/>
      <c r="AJ6" s="37"/>
      <c r="AK6" s="31"/>
      <c r="AL6" s="37"/>
      <c r="AM6" s="31"/>
      <c r="AN6" s="37"/>
      <c r="AO6" s="31"/>
      <c r="AP6" s="37"/>
      <c r="AQ6" s="43"/>
      <c r="AR6" s="44">
        <f t="shared" si="2"/>
        <v>45000</v>
      </c>
      <c r="AS6" s="45">
        <f t="shared" si="1"/>
        <v>0</v>
      </c>
    </row>
    <row r="7" spans="1:45" ht="51" x14ac:dyDescent="0.25">
      <c r="A7" s="144" t="s">
        <v>34</v>
      </c>
      <c r="B7" s="144">
        <v>16</v>
      </c>
      <c r="C7" s="145">
        <v>5</v>
      </c>
      <c r="D7" s="146" t="s">
        <v>61</v>
      </c>
      <c r="E7" s="147">
        <v>100</v>
      </c>
      <c r="F7" s="148">
        <v>122</v>
      </c>
      <c r="G7" s="174" t="s">
        <v>81</v>
      </c>
      <c r="H7" s="155"/>
      <c r="I7" s="155"/>
      <c r="J7" s="155"/>
      <c r="K7" s="148" t="s">
        <v>30</v>
      </c>
      <c r="L7" s="147">
        <v>500</v>
      </c>
      <c r="M7" s="151">
        <v>20</v>
      </c>
      <c r="N7" s="35">
        <f>(L7*M7)</f>
        <v>10000</v>
      </c>
      <c r="O7" s="106"/>
      <c r="P7" s="124">
        <f t="shared" si="0"/>
        <v>10000</v>
      </c>
      <c r="Q7" s="31"/>
      <c r="R7" s="37"/>
      <c r="S7" s="31"/>
      <c r="T7" s="37"/>
      <c r="U7" s="31"/>
      <c r="V7" s="37"/>
      <c r="W7" s="31"/>
      <c r="X7" s="37"/>
      <c r="Y7" s="40"/>
      <c r="Z7" s="31"/>
      <c r="AA7" s="37"/>
      <c r="AB7" s="31"/>
      <c r="AC7" s="37"/>
      <c r="AD7" s="31"/>
      <c r="AE7" s="37"/>
      <c r="AF7" s="31">
        <v>500</v>
      </c>
      <c r="AG7" s="37">
        <v>10000</v>
      </c>
      <c r="AH7" s="41">
        <f>AA7+AC7+AE7+AG7</f>
        <v>10000</v>
      </c>
      <c r="AI7" s="31"/>
      <c r="AJ7" s="37"/>
      <c r="AK7" s="31"/>
      <c r="AL7" s="37"/>
      <c r="AM7" s="31"/>
      <c r="AN7" s="37"/>
      <c r="AO7" s="31"/>
      <c r="AP7" s="37"/>
      <c r="AQ7" s="43"/>
      <c r="AR7" s="44">
        <f t="shared" si="2"/>
        <v>10000</v>
      </c>
      <c r="AS7" s="45">
        <f t="shared" si="1"/>
        <v>0</v>
      </c>
    </row>
    <row r="8" spans="1:45" ht="76.5" x14ac:dyDescent="0.25">
      <c r="A8" s="145" t="s">
        <v>34</v>
      </c>
      <c r="B8" s="145">
        <v>16</v>
      </c>
      <c r="C8" s="145">
        <v>5</v>
      </c>
      <c r="D8" s="145" t="s">
        <v>61</v>
      </c>
      <c r="E8" s="145">
        <v>100</v>
      </c>
      <c r="F8" s="145">
        <v>122</v>
      </c>
      <c r="G8" s="175" t="s">
        <v>82</v>
      </c>
      <c r="H8" s="145"/>
      <c r="I8" s="145"/>
      <c r="J8" s="145"/>
      <c r="K8" s="145" t="s">
        <v>30</v>
      </c>
      <c r="L8" s="145">
        <v>300</v>
      </c>
      <c r="M8" s="145">
        <v>30</v>
      </c>
      <c r="N8" s="35">
        <f>(L8*M8)</f>
        <v>9000</v>
      </c>
      <c r="O8" s="106"/>
      <c r="P8" s="124">
        <f t="shared" si="0"/>
        <v>9000</v>
      </c>
      <c r="Q8" s="31"/>
      <c r="R8" s="37"/>
      <c r="S8" s="31"/>
      <c r="T8" s="37"/>
      <c r="U8" s="31"/>
      <c r="V8" s="37"/>
      <c r="W8" s="31"/>
      <c r="X8" s="37"/>
      <c r="Y8" s="40"/>
      <c r="Z8" s="31"/>
      <c r="AA8" s="37"/>
      <c r="AB8" s="31"/>
      <c r="AC8" s="37"/>
      <c r="AD8" s="31"/>
      <c r="AE8" s="37"/>
      <c r="AF8" s="31">
        <v>300</v>
      </c>
      <c r="AG8" s="37">
        <v>9000</v>
      </c>
      <c r="AH8" s="41">
        <f>AA8+AC8+AE8+AG8</f>
        <v>9000</v>
      </c>
      <c r="AI8" s="31"/>
      <c r="AJ8" s="37"/>
      <c r="AK8" s="31"/>
      <c r="AL8" s="37"/>
      <c r="AM8" s="31"/>
      <c r="AN8" s="37"/>
      <c r="AO8" s="31"/>
      <c r="AP8" s="37"/>
      <c r="AQ8" s="43"/>
      <c r="AR8" s="44">
        <f t="shared" si="2"/>
        <v>9000</v>
      </c>
      <c r="AS8" s="45">
        <f t="shared" si="1"/>
        <v>0</v>
      </c>
    </row>
    <row r="9" spans="1:45" ht="51" x14ac:dyDescent="0.25">
      <c r="A9" s="144" t="s">
        <v>34</v>
      </c>
      <c r="B9" s="144">
        <v>16</v>
      </c>
      <c r="C9" s="145">
        <v>2</v>
      </c>
      <c r="D9" s="146" t="s">
        <v>60</v>
      </c>
      <c r="E9" s="147">
        <v>100</v>
      </c>
      <c r="F9" s="147">
        <v>122</v>
      </c>
      <c r="G9" s="174" t="s">
        <v>83</v>
      </c>
      <c r="H9" s="155"/>
      <c r="I9" s="155"/>
      <c r="J9" s="155"/>
      <c r="K9" s="148" t="s">
        <v>37</v>
      </c>
      <c r="L9" s="147">
        <v>2500</v>
      </c>
      <c r="M9" s="156">
        <v>2</v>
      </c>
      <c r="N9" s="32">
        <f>M9*L9</f>
        <v>5000</v>
      </c>
      <c r="O9" s="105"/>
      <c r="P9" s="124">
        <f t="shared" si="0"/>
        <v>5000</v>
      </c>
      <c r="Q9" s="31"/>
      <c r="R9" s="37"/>
      <c r="S9" s="31"/>
      <c r="T9" s="37"/>
      <c r="U9" s="31"/>
      <c r="V9" s="37"/>
      <c r="W9" s="31"/>
      <c r="X9" s="37"/>
      <c r="Y9" s="40"/>
      <c r="Z9" s="31"/>
      <c r="AA9" s="37"/>
      <c r="AB9" s="31"/>
      <c r="AC9" s="37"/>
      <c r="AD9" s="31"/>
      <c r="AE9" s="37"/>
      <c r="AF9" s="31">
        <v>2500</v>
      </c>
      <c r="AG9" s="37">
        <v>5000</v>
      </c>
      <c r="AH9" s="41">
        <v>5000</v>
      </c>
      <c r="AI9" s="31"/>
      <c r="AJ9" s="37"/>
      <c r="AK9" s="31"/>
      <c r="AL9" s="37"/>
      <c r="AM9" s="31"/>
      <c r="AN9" s="37"/>
      <c r="AO9" s="31"/>
      <c r="AP9" s="37"/>
      <c r="AQ9" s="43"/>
      <c r="AR9" s="44">
        <f t="shared" si="2"/>
        <v>5000</v>
      </c>
      <c r="AS9" s="45">
        <f t="shared" si="1"/>
        <v>0</v>
      </c>
    </row>
    <row r="10" spans="1:45" ht="25.5" x14ac:dyDescent="0.25">
      <c r="A10" s="144" t="s">
        <v>34</v>
      </c>
      <c r="B10" s="144">
        <v>16</v>
      </c>
      <c r="C10" s="152">
        <v>2</v>
      </c>
      <c r="D10" s="153" t="s">
        <v>60</v>
      </c>
      <c r="E10" s="147">
        <v>100</v>
      </c>
      <c r="F10" s="147">
        <v>122</v>
      </c>
      <c r="G10" s="174" t="s">
        <v>38</v>
      </c>
      <c r="H10" s="155"/>
      <c r="I10" s="155"/>
      <c r="J10" s="155"/>
      <c r="K10" s="148" t="s">
        <v>37</v>
      </c>
      <c r="L10" s="147">
        <v>3000</v>
      </c>
      <c r="M10" s="156">
        <v>5</v>
      </c>
      <c r="N10" s="32">
        <f>M10*L10</f>
        <v>15000</v>
      </c>
      <c r="O10" s="105"/>
      <c r="P10" s="124">
        <f t="shared" si="0"/>
        <v>15000</v>
      </c>
      <c r="Q10" s="31"/>
      <c r="R10" s="37"/>
      <c r="S10" s="31"/>
      <c r="T10" s="37"/>
      <c r="U10" s="31"/>
      <c r="V10" s="37"/>
      <c r="W10" s="31"/>
      <c r="X10" s="37"/>
      <c r="Y10" s="40"/>
      <c r="Z10" s="31">
        <v>3000</v>
      </c>
      <c r="AA10" s="37">
        <v>15000</v>
      </c>
      <c r="AB10" s="31"/>
      <c r="AC10" s="37"/>
      <c r="AD10" s="31"/>
      <c r="AE10" s="37"/>
      <c r="AF10" s="31"/>
      <c r="AG10" s="37"/>
      <c r="AH10" s="41">
        <f>AA10+AC10+AE10+AG10</f>
        <v>15000</v>
      </c>
      <c r="AI10" s="31"/>
      <c r="AJ10" s="37"/>
      <c r="AK10" s="31"/>
      <c r="AL10" s="37"/>
      <c r="AM10" s="31"/>
      <c r="AN10" s="37"/>
      <c r="AO10" s="31"/>
      <c r="AP10" s="37"/>
      <c r="AQ10" s="43"/>
      <c r="AR10" s="44">
        <f t="shared" si="2"/>
        <v>15000</v>
      </c>
      <c r="AS10" s="45">
        <f t="shared" si="1"/>
        <v>0</v>
      </c>
    </row>
    <row r="11" spans="1:45" ht="25.5" x14ac:dyDescent="0.25">
      <c r="A11" s="144" t="s">
        <v>34</v>
      </c>
      <c r="B11" s="144">
        <v>16</v>
      </c>
      <c r="C11" s="152">
        <v>2</v>
      </c>
      <c r="D11" s="153" t="s">
        <v>61</v>
      </c>
      <c r="E11" s="147">
        <v>100</v>
      </c>
      <c r="F11" s="147">
        <v>122</v>
      </c>
      <c r="G11" s="174" t="s">
        <v>39</v>
      </c>
      <c r="H11" s="155"/>
      <c r="I11" s="155"/>
      <c r="J11" s="155"/>
      <c r="K11" s="148" t="s">
        <v>37</v>
      </c>
      <c r="L11" s="147">
        <v>1500</v>
      </c>
      <c r="M11" s="156">
        <v>10</v>
      </c>
      <c r="N11" s="32">
        <f>M11*L11</f>
        <v>15000</v>
      </c>
      <c r="O11" s="105"/>
      <c r="P11" s="124">
        <f t="shared" si="0"/>
        <v>15000</v>
      </c>
      <c r="Q11" s="31"/>
      <c r="R11" s="37"/>
      <c r="S11" s="31"/>
      <c r="T11" s="37"/>
      <c r="U11" s="31"/>
      <c r="V11" s="37"/>
      <c r="W11" s="31"/>
      <c r="X11" s="37"/>
      <c r="Y11" s="40"/>
      <c r="Z11" s="31"/>
      <c r="AA11" s="37"/>
      <c r="AB11" s="31"/>
      <c r="AC11" s="37"/>
      <c r="AD11" s="31"/>
      <c r="AE11" s="37"/>
      <c r="AF11" s="31">
        <v>1500</v>
      </c>
      <c r="AG11" s="37">
        <v>15000</v>
      </c>
      <c r="AH11" s="41">
        <f>AA11+AC11+AE11+AG11</f>
        <v>15000</v>
      </c>
      <c r="AI11" s="31"/>
      <c r="AJ11" s="37"/>
      <c r="AK11" s="31"/>
      <c r="AL11" s="37"/>
      <c r="AM11" s="31"/>
      <c r="AN11" s="37"/>
      <c r="AO11" s="31"/>
      <c r="AP11" s="37"/>
      <c r="AQ11" s="43"/>
      <c r="AR11" s="44">
        <f t="shared" si="2"/>
        <v>15000</v>
      </c>
      <c r="AS11" s="45">
        <f t="shared" si="1"/>
        <v>0</v>
      </c>
    </row>
    <row r="12" spans="1:45" ht="25.5" x14ac:dyDescent="0.25">
      <c r="A12" s="85" t="s">
        <v>34</v>
      </c>
      <c r="B12" s="85">
        <v>16</v>
      </c>
      <c r="C12" s="90">
        <v>5</v>
      </c>
      <c r="D12" s="91" t="s">
        <v>60</v>
      </c>
      <c r="E12" s="84">
        <v>100</v>
      </c>
      <c r="F12" s="84">
        <v>122</v>
      </c>
      <c r="G12" s="176" t="s">
        <v>40</v>
      </c>
      <c r="H12" s="92"/>
      <c r="I12" s="92"/>
      <c r="J12" s="92"/>
      <c r="K12" s="93" t="s">
        <v>37</v>
      </c>
      <c r="L12" s="84">
        <v>5000</v>
      </c>
      <c r="M12" s="98">
        <v>2</v>
      </c>
      <c r="N12" s="35">
        <f>(L12*M12)</f>
        <v>10000</v>
      </c>
      <c r="O12" s="106">
        <v>9700</v>
      </c>
      <c r="P12" s="124">
        <f t="shared" ref="P12:P18" si="3">(N12-O12)</f>
        <v>300</v>
      </c>
      <c r="Q12" s="31"/>
      <c r="R12" s="37"/>
      <c r="S12" s="31">
        <v>5000</v>
      </c>
      <c r="T12" s="37">
        <v>10000</v>
      </c>
      <c r="U12" s="31"/>
      <c r="V12" s="37"/>
      <c r="W12" s="31"/>
      <c r="X12" s="37"/>
      <c r="Y12" s="40">
        <f>R12+T12+V12+X12</f>
        <v>10000</v>
      </c>
      <c r="Z12" s="31"/>
      <c r="AA12" s="37"/>
      <c r="AB12" s="31"/>
      <c r="AC12" s="37"/>
      <c r="AD12" s="31"/>
      <c r="AE12" s="37"/>
      <c r="AF12" s="31"/>
      <c r="AG12" s="37"/>
      <c r="AH12" s="41"/>
      <c r="AI12" s="31"/>
      <c r="AJ12" s="37"/>
      <c r="AK12" s="31"/>
      <c r="AL12" s="37"/>
      <c r="AM12" s="31"/>
      <c r="AN12" s="37"/>
      <c r="AO12" s="31"/>
      <c r="AP12" s="37"/>
      <c r="AQ12" s="43"/>
      <c r="AR12" s="44">
        <f t="shared" si="2"/>
        <v>10000</v>
      </c>
      <c r="AS12" s="45">
        <f t="shared" si="1"/>
        <v>0</v>
      </c>
    </row>
    <row r="13" spans="1:45" ht="54" customHeight="1" x14ac:dyDescent="0.25">
      <c r="A13" s="144" t="s">
        <v>34</v>
      </c>
      <c r="B13" s="144">
        <v>16</v>
      </c>
      <c r="C13" s="152">
        <v>5</v>
      </c>
      <c r="D13" s="153" t="s">
        <v>60</v>
      </c>
      <c r="E13" s="147">
        <v>100</v>
      </c>
      <c r="F13" s="154">
        <v>122</v>
      </c>
      <c r="G13" s="174" t="s">
        <v>41</v>
      </c>
      <c r="H13" s="155"/>
      <c r="I13" s="155"/>
      <c r="J13" s="155"/>
      <c r="K13" s="148" t="s">
        <v>37</v>
      </c>
      <c r="L13" s="147">
        <v>100</v>
      </c>
      <c r="M13" s="156">
        <v>40</v>
      </c>
      <c r="N13" s="35">
        <f>(L13*M13)</f>
        <v>4000</v>
      </c>
      <c r="O13" s="106"/>
      <c r="P13" s="124">
        <f t="shared" si="3"/>
        <v>4000</v>
      </c>
      <c r="Q13" s="31"/>
      <c r="R13" s="37"/>
      <c r="S13" s="31"/>
      <c r="T13" s="37"/>
      <c r="U13" s="31"/>
      <c r="V13" s="37"/>
      <c r="W13" s="31"/>
      <c r="X13" s="37"/>
      <c r="Y13" s="40"/>
      <c r="Z13" s="31"/>
      <c r="AA13" s="37"/>
      <c r="AB13" s="31"/>
      <c r="AC13" s="37"/>
      <c r="AD13" s="31">
        <v>100</v>
      </c>
      <c r="AE13" s="37">
        <v>4000</v>
      </c>
      <c r="AF13" s="31"/>
      <c r="AG13" s="37"/>
      <c r="AH13" s="41">
        <f>AA13+AC13+AE13+AG13</f>
        <v>4000</v>
      </c>
      <c r="AI13" s="31"/>
      <c r="AJ13" s="37"/>
      <c r="AK13" s="31"/>
      <c r="AL13" s="37"/>
      <c r="AM13" s="31"/>
      <c r="AN13" s="37"/>
      <c r="AO13" s="31"/>
      <c r="AP13" s="37"/>
      <c r="AQ13" s="43"/>
      <c r="AR13" s="44">
        <f t="shared" si="2"/>
        <v>4000</v>
      </c>
      <c r="AS13" s="45">
        <f t="shared" si="1"/>
        <v>0</v>
      </c>
    </row>
    <row r="14" spans="1:45" ht="25.5" x14ac:dyDescent="0.25">
      <c r="A14" s="85" t="s">
        <v>34</v>
      </c>
      <c r="B14" s="85">
        <v>16</v>
      </c>
      <c r="C14" s="90">
        <v>2</v>
      </c>
      <c r="D14" s="91" t="s">
        <v>61</v>
      </c>
      <c r="E14" s="84">
        <v>100</v>
      </c>
      <c r="F14" s="84">
        <v>122</v>
      </c>
      <c r="G14" s="176" t="s">
        <v>42</v>
      </c>
      <c r="H14" s="92"/>
      <c r="I14" s="92"/>
      <c r="J14" s="92"/>
      <c r="K14" s="93" t="s">
        <v>37</v>
      </c>
      <c r="L14" s="84">
        <v>6000</v>
      </c>
      <c r="M14" s="98">
        <v>0.5</v>
      </c>
      <c r="N14" s="32">
        <f>M14*L14</f>
        <v>3000</v>
      </c>
      <c r="O14" s="105">
        <v>3000</v>
      </c>
      <c r="P14" s="124">
        <f t="shared" si="3"/>
        <v>0</v>
      </c>
      <c r="Q14" s="31"/>
      <c r="R14" s="37"/>
      <c r="S14" s="31"/>
      <c r="T14" s="37"/>
      <c r="U14" s="80">
        <v>6000</v>
      </c>
      <c r="V14" s="81">
        <v>3000</v>
      </c>
      <c r="W14" s="31"/>
      <c r="X14" s="37"/>
      <c r="Y14" s="40">
        <f>R14+T14+V14+X14</f>
        <v>3000</v>
      </c>
      <c r="Z14" s="31"/>
      <c r="AA14" s="37"/>
      <c r="AB14" s="31"/>
      <c r="AC14" s="37"/>
      <c r="AD14" s="31"/>
      <c r="AE14" s="37"/>
      <c r="AF14" s="31"/>
      <c r="AG14" s="37"/>
      <c r="AH14" s="41"/>
      <c r="AI14" s="31"/>
      <c r="AJ14" s="37"/>
      <c r="AK14" s="31"/>
      <c r="AL14" s="37"/>
      <c r="AM14" s="31"/>
      <c r="AN14" s="37"/>
      <c r="AO14" s="31"/>
      <c r="AP14" s="37"/>
      <c r="AQ14" s="43"/>
      <c r="AR14" s="44">
        <f t="shared" si="2"/>
        <v>3000</v>
      </c>
      <c r="AS14" s="45">
        <f t="shared" si="1"/>
        <v>0</v>
      </c>
    </row>
    <row r="15" spans="1:45" ht="38.25" x14ac:dyDescent="0.25">
      <c r="A15" s="85" t="s">
        <v>34</v>
      </c>
      <c r="B15" s="85">
        <v>16</v>
      </c>
      <c r="C15" s="90">
        <v>2</v>
      </c>
      <c r="D15" s="91" t="s">
        <v>61</v>
      </c>
      <c r="E15" s="84">
        <v>100</v>
      </c>
      <c r="F15" s="84">
        <v>122</v>
      </c>
      <c r="G15" s="176" t="s">
        <v>84</v>
      </c>
      <c r="H15" s="92"/>
      <c r="I15" s="92"/>
      <c r="J15" s="92"/>
      <c r="K15" s="93" t="s">
        <v>37</v>
      </c>
      <c r="L15" s="84">
        <v>3000</v>
      </c>
      <c r="M15" s="98">
        <v>4.7</v>
      </c>
      <c r="N15" s="32">
        <f>M15*L15</f>
        <v>14100</v>
      </c>
      <c r="O15" s="142">
        <v>14400</v>
      </c>
      <c r="P15" s="200">
        <f t="shared" si="3"/>
        <v>-300</v>
      </c>
      <c r="Q15" s="31"/>
      <c r="R15" s="37"/>
      <c r="S15" s="77"/>
      <c r="T15" s="78"/>
      <c r="U15" s="82">
        <v>3000</v>
      </c>
      <c r="V15" s="83">
        <v>14100</v>
      </c>
      <c r="W15" s="31"/>
      <c r="X15" s="37"/>
      <c r="Y15" s="40">
        <f>R15+T15+V15+X15</f>
        <v>14100</v>
      </c>
      <c r="Z15" s="31"/>
      <c r="AA15" s="37"/>
      <c r="AB15" s="31"/>
      <c r="AC15" s="37"/>
      <c r="AD15" s="31"/>
      <c r="AE15" s="37"/>
      <c r="AF15" s="31"/>
      <c r="AG15" s="37"/>
      <c r="AH15" s="41"/>
      <c r="AI15" s="31"/>
      <c r="AJ15" s="37"/>
      <c r="AK15" s="31"/>
      <c r="AL15" s="37"/>
      <c r="AM15" s="31"/>
      <c r="AN15" s="37"/>
      <c r="AO15" s="31"/>
      <c r="AP15" s="37"/>
      <c r="AQ15" s="43"/>
      <c r="AR15" s="44">
        <f t="shared" si="2"/>
        <v>14100</v>
      </c>
      <c r="AS15" s="45">
        <f t="shared" si="1"/>
        <v>0</v>
      </c>
    </row>
    <row r="16" spans="1:45" ht="38.25" x14ac:dyDescent="0.25">
      <c r="A16" s="144" t="s">
        <v>34</v>
      </c>
      <c r="B16" s="144">
        <v>16</v>
      </c>
      <c r="C16" s="152">
        <v>2</v>
      </c>
      <c r="D16" s="153" t="s">
        <v>61</v>
      </c>
      <c r="E16" s="147">
        <v>100</v>
      </c>
      <c r="F16" s="147">
        <v>122</v>
      </c>
      <c r="G16" s="175" t="s">
        <v>43</v>
      </c>
      <c r="H16" s="157"/>
      <c r="I16" s="157"/>
      <c r="J16" s="157"/>
      <c r="K16" s="148" t="s">
        <v>36</v>
      </c>
      <c r="L16" s="147">
        <v>2500</v>
      </c>
      <c r="M16" s="156">
        <v>15</v>
      </c>
      <c r="N16" s="32">
        <f>M16*L16</f>
        <v>37500</v>
      </c>
      <c r="O16" s="105"/>
      <c r="P16" s="124">
        <f t="shared" si="3"/>
        <v>37500</v>
      </c>
      <c r="Q16" s="31"/>
      <c r="R16" s="37"/>
      <c r="S16" s="31"/>
      <c r="T16" s="37"/>
      <c r="U16" s="31"/>
      <c r="V16" s="37"/>
      <c r="W16" s="31"/>
      <c r="X16" s="37"/>
      <c r="Y16" s="40"/>
      <c r="Z16" s="31"/>
      <c r="AA16" s="37"/>
      <c r="AB16" s="31"/>
      <c r="AC16" s="37"/>
      <c r="AD16" s="31"/>
      <c r="AE16" s="37"/>
      <c r="AF16" s="31">
        <v>2500</v>
      </c>
      <c r="AG16" s="37">
        <v>37500</v>
      </c>
      <c r="AH16" s="41">
        <f>AA16+AC16+AE16+AG16</f>
        <v>37500</v>
      </c>
      <c r="AI16" s="31"/>
      <c r="AJ16" s="37"/>
      <c r="AK16" s="31"/>
      <c r="AL16" s="37"/>
      <c r="AM16" s="31"/>
      <c r="AN16" s="37"/>
      <c r="AO16" s="31"/>
      <c r="AP16" s="37"/>
      <c r="AQ16" s="43"/>
      <c r="AR16" s="44">
        <f t="shared" si="2"/>
        <v>37500</v>
      </c>
      <c r="AS16" s="45">
        <f t="shared" si="1"/>
        <v>0</v>
      </c>
    </row>
    <row r="17" spans="1:45" ht="25.5" x14ac:dyDescent="0.25">
      <c r="A17" s="144" t="s">
        <v>34</v>
      </c>
      <c r="B17" s="144">
        <v>16</v>
      </c>
      <c r="C17" s="152">
        <v>2</v>
      </c>
      <c r="D17" s="153" t="s">
        <v>60</v>
      </c>
      <c r="E17" s="147">
        <v>100</v>
      </c>
      <c r="F17" s="147">
        <v>122</v>
      </c>
      <c r="G17" s="174" t="s">
        <v>85</v>
      </c>
      <c r="H17" s="155"/>
      <c r="I17" s="155"/>
      <c r="J17" s="155"/>
      <c r="K17" s="148" t="s">
        <v>36</v>
      </c>
      <c r="L17" s="147">
        <v>2000</v>
      </c>
      <c r="M17" s="156">
        <v>15</v>
      </c>
      <c r="N17" s="32">
        <f>M17*L17</f>
        <v>30000</v>
      </c>
      <c r="O17" s="105"/>
      <c r="P17" s="124">
        <f t="shared" si="3"/>
        <v>30000</v>
      </c>
      <c r="Q17" s="31"/>
      <c r="R17" s="37"/>
      <c r="S17" s="31"/>
      <c r="T17" s="37"/>
      <c r="U17" s="31"/>
      <c r="V17" s="37"/>
      <c r="W17" s="31"/>
      <c r="X17" s="37"/>
      <c r="Y17" s="40"/>
      <c r="Z17" s="169"/>
      <c r="AA17" s="129"/>
      <c r="AB17" s="169"/>
      <c r="AC17" s="129"/>
      <c r="AD17" s="169">
        <v>2000</v>
      </c>
      <c r="AE17" s="129">
        <v>30000</v>
      </c>
      <c r="AF17" s="31"/>
      <c r="AG17" s="37"/>
      <c r="AH17" s="41">
        <v>30000</v>
      </c>
      <c r="AI17" s="31"/>
      <c r="AJ17" s="37"/>
      <c r="AK17" s="31"/>
      <c r="AL17" s="37"/>
      <c r="AM17" s="31"/>
      <c r="AN17" s="37"/>
      <c r="AO17" s="31"/>
      <c r="AP17" s="37"/>
      <c r="AQ17" s="43"/>
      <c r="AR17" s="44">
        <f t="shared" si="2"/>
        <v>30000</v>
      </c>
      <c r="AS17" s="45">
        <f t="shared" si="1"/>
        <v>0</v>
      </c>
    </row>
    <row r="18" spans="1:45" ht="25.5" x14ac:dyDescent="0.25">
      <c r="A18" s="144" t="s">
        <v>34</v>
      </c>
      <c r="B18" s="144">
        <v>16</v>
      </c>
      <c r="C18" s="152">
        <v>2</v>
      </c>
      <c r="D18" s="153" t="s">
        <v>62</v>
      </c>
      <c r="E18" s="147">
        <v>100</v>
      </c>
      <c r="F18" s="147">
        <v>122</v>
      </c>
      <c r="G18" s="174" t="s">
        <v>86</v>
      </c>
      <c r="H18" s="155"/>
      <c r="I18" s="155"/>
      <c r="J18" s="155"/>
      <c r="K18" s="148" t="s">
        <v>36</v>
      </c>
      <c r="L18" s="147">
        <v>350</v>
      </c>
      <c r="M18" s="156">
        <v>15</v>
      </c>
      <c r="N18" s="35">
        <f>(L18*M18)</f>
        <v>5250</v>
      </c>
      <c r="O18" s="106"/>
      <c r="P18" s="124">
        <f t="shared" si="3"/>
        <v>5250</v>
      </c>
      <c r="Q18" s="31"/>
      <c r="R18" s="37"/>
      <c r="S18" s="31"/>
      <c r="T18" s="37"/>
      <c r="U18" s="31"/>
      <c r="V18" s="37"/>
      <c r="W18" s="31"/>
      <c r="X18" s="37"/>
      <c r="Y18" s="40"/>
      <c r="Z18" s="169"/>
      <c r="AA18" s="129"/>
      <c r="AB18" s="31"/>
      <c r="AC18" s="37"/>
      <c r="AD18" s="31"/>
      <c r="AE18" s="37"/>
      <c r="AF18" s="169">
        <v>350</v>
      </c>
      <c r="AG18" s="129">
        <v>5250</v>
      </c>
      <c r="AH18" s="41">
        <v>5250</v>
      </c>
      <c r="AI18" s="31"/>
      <c r="AJ18" s="37"/>
      <c r="AK18" s="31"/>
      <c r="AL18" s="37"/>
      <c r="AM18" s="31"/>
      <c r="AN18" s="37"/>
      <c r="AO18" s="31"/>
      <c r="AP18" s="37"/>
      <c r="AQ18" s="43"/>
      <c r="AR18" s="44">
        <f t="shared" si="2"/>
        <v>5250</v>
      </c>
      <c r="AS18" s="45">
        <f t="shared" si="1"/>
        <v>0</v>
      </c>
    </row>
    <row r="19" spans="1:45" ht="25.5" x14ac:dyDescent="0.25">
      <c r="A19" s="144" t="s">
        <v>34</v>
      </c>
      <c r="B19" s="144">
        <v>69</v>
      </c>
      <c r="C19" s="152">
        <v>5</v>
      </c>
      <c r="D19" s="153" t="s">
        <v>61</v>
      </c>
      <c r="E19" s="147">
        <v>200</v>
      </c>
      <c r="F19" s="147">
        <v>211</v>
      </c>
      <c r="G19" s="174" t="s">
        <v>56</v>
      </c>
      <c r="H19" s="155"/>
      <c r="I19" s="155"/>
      <c r="J19" s="155"/>
      <c r="K19" s="148" t="s">
        <v>46</v>
      </c>
      <c r="L19" s="147">
        <v>200</v>
      </c>
      <c r="M19" s="156">
        <v>100</v>
      </c>
      <c r="N19" s="35">
        <f>(L19*M19)</f>
        <v>20000</v>
      </c>
      <c r="O19" s="106">
        <v>10486</v>
      </c>
      <c r="P19" s="124">
        <f>(N19-O19)</f>
        <v>9514</v>
      </c>
      <c r="Q19" s="31"/>
      <c r="R19" s="37"/>
      <c r="S19" s="31"/>
      <c r="T19" s="37"/>
      <c r="U19" s="80">
        <v>66</v>
      </c>
      <c r="V19" s="81">
        <v>6600</v>
      </c>
      <c r="W19" s="31"/>
      <c r="X19" s="37"/>
      <c r="Y19" s="40">
        <f>R19+T19+V19+X19</f>
        <v>6600</v>
      </c>
      <c r="Z19" s="31">
        <v>33</v>
      </c>
      <c r="AA19" s="37">
        <v>3350</v>
      </c>
      <c r="AB19" s="31">
        <v>33</v>
      </c>
      <c r="AC19" s="37">
        <v>3350</v>
      </c>
      <c r="AD19" s="31"/>
      <c r="AE19" s="37"/>
      <c r="AF19" s="31"/>
      <c r="AG19" s="37"/>
      <c r="AH19" s="41">
        <f>AA19+AC19+AE19+AG19</f>
        <v>6700</v>
      </c>
      <c r="AI19" s="31">
        <v>67</v>
      </c>
      <c r="AJ19" s="37">
        <v>6700</v>
      </c>
      <c r="AK19" s="31"/>
      <c r="AL19" s="37"/>
      <c r="AM19" s="31"/>
      <c r="AN19" s="37"/>
      <c r="AO19" s="31"/>
      <c r="AP19" s="37"/>
      <c r="AQ19" s="43">
        <f>AJ19+AL19+AN19+AP19</f>
        <v>6700</v>
      </c>
      <c r="AR19" s="44">
        <f t="shared" si="2"/>
        <v>20000</v>
      </c>
      <c r="AS19" s="45">
        <f t="shared" si="1"/>
        <v>0</v>
      </c>
    </row>
    <row r="20" spans="1:45" ht="25.5" x14ac:dyDescent="0.25">
      <c r="A20" s="5" t="s">
        <v>34</v>
      </c>
      <c r="B20" s="8">
        <v>21</v>
      </c>
      <c r="C20" s="67">
        <v>5</v>
      </c>
      <c r="D20" s="73" t="s">
        <v>61</v>
      </c>
      <c r="E20" s="9">
        <v>100</v>
      </c>
      <c r="F20" s="6">
        <v>131</v>
      </c>
      <c r="G20" s="177" t="s">
        <v>67</v>
      </c>
      <c r="H20" s="59"/>
      <c r="I20" s="59"/>
      <c r="J20" s="59"/>
      <c r="K20" s="11" t="s">
        <v>31</v>
      </c>
      <c r="L20" s="10">
        <v>1</v>
      </c>
      <c r="M20" s="38">
        <v>5000</v>
      </c>
      <c r="N20" s="32">
        <f>M20*L20</f>
        <v>5000</v>
      </c>
      <c r="O20" s="105"/>
      <c r="P20" s="124">
        <f t="shared" ref="P20:P36" si="4">(N20-O20)</f>
        <v>5000</v>
      </c>
      <c r="Q20" s="26"/>
      <c r="R20" s="27"/>
      <c r="S20" s="26"/>
      <c r="T20" s="27"/>
      <c r="U20" s="26">
        <v>1</v>
      </c>
      <c r="V20" s="27">
        <v>5000</v>
      </c>
      <c r="W20" s="26"/>
      <c r="X20" s="27"/>
      <c r="Y20" s="40">
        <f>R20+T20+V20+X20</f>
        <v>5000</v>
      </c>
      <c r="Z20" s="26"/>
      <c r="AA20" s="27"/>
      <c r="AB20" s="26"/>
      <c r="AC20" s="27"/>
      <c r="AD20" s="26"/>
      <c r="AE20" s="27"/>
      <c r="AF20" s="26"/>
      <c r="AG20" s="27"/>
      <c r="AH20" s="41"/>
      <c r="AI20" s="26"/>
      <c r="AJ20" s="27"/>
      <c r="AK20" s="26"/>
      <c r="AL20" s="27"/>
      <c r="AM20" s="26"/>
      <c r="AN20" s="27"/>
      <c r="AO20" s="26"/>
      <c r="AP20" s="27"/>
      <c r="AQ20" s="43"/>
      <c r="AR20" s="44">
        <f t="shared" si="2"/>
        <v>5000</v>
      </c>
      <c r="AS20" s="45">
        <f t="shared" si="1"/>
        <v>0</v>
      </c>
    </row>
    <row r="21" spans="1:45" ht="51" x14ac:dyDescent="0.25">
      <c r="A21" s="5" t="s">
        <v>34</v>
      </c>
      <c r="B21" s="5">
        <v>22</v>
      </c>
      <c r="C21" s="66">
        <v>5</v>
      </c>
      <c r="D21" s="75" t="s">
        <v>60</v>
      </c>
      <c r="E21" s="6">
        <v>100</v>
      </c>
      <c r="F21" s="6">
        <v>133</v>
      </c>
      <c r="G21" s="177" t="s">
        <v>32</v>
      </c>
      <c r="H21" s="59" t="s">
        <v>44</v>
      </c>
      <c r="I21" s="59"/>
      <c r="J21" s="59"/>
      <c r="K21" s="11" t="s">
        <v>45</v>
      </c>
      <c r="L21" s="6">
        <v>70</v>
      </c>
      <c r="M21" s="38">
        <v>420</v>
      </c>
      <c r="N21" s="35">
        <f>(L21*M21)</f>
        <v>29400</v>
      </c>
      <c r="O21" s="106">
        <v>3323</v>
      </c>
      <c r="P21" s="124">
        <f t="shared" si="4"/>
        <v>26077</v>
      </c>
      <c r="Q21" s="31"/>
      <c r="R21" s="37"/>
      <c r="S21" s="31"/>
      <c r="T21" s="37"/>
      <c r="U21" s="31">
        <v>8</v>
      </c>
      <c r="V21" s="37">
        <v>3360</v>
      </c>
      <c r="W21" s="31">
        <v>8</v>
      </c>
      <c r="X21" s="37">
        <v>3360</v>
      </c>
      <c r="Y21" s="40">
        <f>R21+T21+V21+X21</f>
        <v>6720</v>
      </c>
      <c r="Z21" s="31">
        <v>8</v>
      </c>
      <c r="AA21" s="37">
        <v>3360</v>
      </c>
      <c r="AB21" s="31">
        <v>8</v>
      </c>
      <c r="AC21" s="37">
        <v>3360</v>
      </c>
      <c r="AD21" s="31">
        <v>8</v>
      </c>
      <c r="AE21" s="37">
        <v>3360</v>
      </c>
      <c r="AF21" s="31">
        <v>8</v>
      </c>
      <c r="AG21" s="37">
        <v>3360</v>
      </c>
      <c r="AH21" s="41">
        <v>13440</v>
      </c>
      <c r="AI21" s="31">
        <v>12</v>
      </c>
      <c r="AJ21" s="37">
        <v>5040</v>
      </c>
      <c r="AK21" s="31">
        <v>10</v>
      </c>
      <c r="AL21" s="37">
        <v>4200</v>
      </c>
      <c r="AM21" s="31"/>
      <c r="AN21" s="37"/>
      <c r="AO21" s="31"/>
      <c r="AP21" s="37"/>
      <c r="AQ21" s="43">
        <f>AJ21+AL21+AN21+AP21</f>
        <v>9240</v>
      </c>
      <c r="AR21" s="44">
        <f t="shared" si="2"/>
        <v>29400</v>
      </c>
      <c r="AS21" s="45">
        <f t="shared" si="1"/>
        <v>0</v>
      </c>
    </row>
    <row r="22" spans="1:45" ht="30.75" customHeight="1" x14ac:dyDescent="0.25">
      <c r="A22" s="5" t="s">
        <v>34</v>
      </c>
      <c r="B22" s="5"/>
      <c r="C22" s="67">
        <v>5</v>
      </c>
      <c r="D22" s="73" t="s">
        <v>61</v>
      </c>
      <c r="E22" s="9">
        <v>100</v>
      </c>
      <c r="F22" s="52">
        <v>141</v>
      </c>
      <c r="G22" s="172" t="s">
        <v>71</v>
      </c>
      <c r="H22" s="61"/>
      <c r="I22" s="61"/>
      <c r="J22" s="61"/>
      <c r="K22" s="52" t="s">
        <v>31</v>
      </c>
      <c r="L22" s="52">
        <v>1</v>
      </c>
      <c r="M22" s="64">
        <v>5000</v>
      </c>
      <c r="N22" s="70">
        <f>L22*M22</f>
        <v>5000</v>
      </c>
      <c r="O22" s="107"/>
      <c r="P22" s="124">
        <f t="shared" si="4"/>
        <v>5000</v>
      </c>
      <c r="Q22" s="53"/>
      <c r="R22" s="54"/>
      <c r="S22" s="54"/>
      <c r="T22" s="54"/>
      <c r="U22" s="26">
        <v>1</v>
      </c>
      <c r="V22" s="27">
        <v>5000</v>
      </c>
      <c r="W22" s="54"/>
      <c r="X22" s="54"/>
      <c r="Y22" s="40">
        <f>R22+T22+V22+X22</f>
        <v>5000</v>
      </c>
      <c r="Z22" s="54"/>
      <c r="AA22" s="54"/>
      <c r="AB22" s="54"/>
      <c r="AC22" s="54"/>
      <c r="AD22" s="54"/>
      <c r="AE22" s="54"/>
      <c r="AF22" s="54"/>
      <c r="AG22" s="54"/>
      <c r="AH22" s="56"/>
      <c r="AI22" s="54"/>
      <c r="AJ22" s="54"/>
      <c r="AK22" s="54"/>
      <c r="AL22" s="54"/>
      <c r="AM22" s="54"/>
      <c r="AN22" s="54"/>
      <c r="AO22" s="54"/>
      <c r="AP22" s="54"/>
      <c r="AQ22" s="43"/>
      <c r="AR22" s="76">
        <f t="shared" si="2"/>
        <v>5000</v>
      </c>
      <c r="AS22" s="45">
        <f t="shared" si="1"/>
        <v>0</v>
      </c>
    </row>
    <row r="23" spans="1:45" ht="58.5" customHeight="1" x14ac:dyDescent="0.25">
      <c r="A23" s="202" t="s">
        <v>34</v>
      </c>
      <c r="B23" s="202">
        <v>49</v>
      </c>
      <c r="C23" s="203">
        <v>2</v>
      </c>
      <c r="D23" s="204" t="s">
        <v>61</v>
      </c>
      <c r="E23" s="205">
        <v>100</v>
      </c>
      <c r="F23" s="206">
        <v>189</v>
      </c>
      <c r="G23" s="207" t="s">
        <v>68</v>
      </c>
      <c r="H23" s="208"/>
      <c r="I23" s="208"/>
      <c r="J23" s="208"/>
      <c r="K23" s="206" t="s">
        <v>53</v>
      </c>
      <c r="L23" s="205">
        <v>1500</v>
      </c>
      <c r="M23" s="209">
        <v>10</v>
      </c>
      <c r="N23" s="210">
        <f>M23*L23</f>
        <v>15000</v>
      </c>
      <c r="O23" s="210"/>
      <c r="P23" s="211">
        <f t="shared" si="4"/>
        <v>15000</v>
      </c>
      <c r="Q23" s="31"/>
      <c r="R23" s="37"/>
      <c r="S23" s="31"/>
      <c r="T23" s="37"/>
      <c r="U23" s="6">
        <v>1500</v>
      </c>
      <c r="V23" s="37">
        <v>15000</v>
      </c>
      <c r="W23" s="31"/>
      <c r="X23" s="37"/>
      <c r="Y23" s="40">
        <v>15000</v>
      </c>
      <c r="Z23" s="31"/>
      <c r="AA23" s="37"/>
      <c r="AB23" s="31"/>
      <c r="AC23" s="37"/>
      <c r="AD23" s="31"/>
      <c r="AE23" s="37"/>
      <c r="AF23" s="31"/>
      <c r="AG23" s="37"/>
      <c r="AH23" s="41"/>
      <c r="AI23" s="31"/>
      <c r="AJ23" s="37"/>
      <c r="AK23" s="31"/>
      <c r="AL23" s="37"/>
      <c r="AM23" s="31"/>
      <c r="AN23" s="37"/>
      <c r="AO23" s="31"/>
      <c r="AP23" s="37"/>
      <c r="AQ23" s="43"/>
      <c r="AR23" s="76">
        <f t="shared" si="2"/>
        <v>15000</v>
      </c>
      <c r="AS23" s="45">
        <f t="shared" si="1"/>
        <v>0</v>
      </c>
    </row>
    <row r="24" spans="1:45" ht="38.25" x14ac:dyDescent="0.25">
      <c r="A24" s="85" t="s">
        <v>34</v>
      </c>
      <c r="B24" s="85">
        <v>83</v>
      </c>
      <c r="C24" s="90">
        <v>2</v>
      </c>
      <c r="D24" s="91" t="s">
        <v>62</v>
      </c>
      <c r="E24" s="84">
        <v>200</v>
      </c>
      <c r="F24" s="84">
        <v>233</v>
      </c>
      <c r="G24" s="176" t="s">
        <v>63</v>
      </c>
      <c r="H24" s="92"/>
      <c r="I24" s="92"/>
      <c r="J24" s="92"/>
      <c r="K24" s="93" t="s">
        <v>37</v>
      </c>
      <c r="L24" s="84">
        <v>500</v>
      </c>
      <c r="M24" s="98">
        <v>25</v>
      </c>
      <c r="N24" s="32">
        <f>M24*L24</f>
        <v>12500</v>
      </c>
      <c r="O24" s="105">
        <v>12494.7</v>
      </c>
      <c r="P24" s="124">
        <f t="shared" si="4"/>
        <v>5.2999999999992724</v>
      </c>
      <c r="Q24" s="31"/>
      <c r="R24" s="37"/>
      <c r="S24" s="31"/>
      <c r="T24" s="37"/>
      <c r="U24" s="80">
        <v>500</v>
      </c>
      <c r="V24" s="81">
        <v>12500</v>
      </c>
      <c r="W24" s="31"/>
      <c r="X24" s="37"/>
      <c r="Y24" s="40">
        <f>R24+T24+V24+X24</f>
        <v>12500</v>
      </c>
      <c r="Z24" s="31"/>
      <c r="AA24" s="37"/>
      <c r="AB24" s="31"/>
      <c r="AC24" s="37"/>
      <c r="AD24" s="31"/>
      <c r="AE24" s="37"/>
      <c r="AF24" s="31"/>
      <c r="AG24" s="37"/>
      <c r="AH24" s="41"/>
      <c r="AI24" s="31"/>
      <c r="AJ24" s="37"/>
      <c r="AK24" s="31"/>
      <c r="AL24" s="37"/>
      <c r="AM24" s="31"/>
      <c r="AN24" s="37"/>
      <c r="AO24" s="31"/>
      <c r="AP24" s="37"/>
      <c r="AQ24" s="43"/>
      <c r="AR24" s="76">
        <f>Y24+AH24+AQ24</f>
        <v>12500</v>
      </c>
      <c r="AS24" s="45">
        <f t="shared" si="1"/>
        <v>0</v>
      </c>
    </row>
    <row r="25" spans="1:45" ht="25.5" x14ac:dyDescent="0.25">
      <c r="A25" s="85" t="s">
        <v>34</v>
      </c>
      <c r="B25" s="85">
        <v>81</v>
      </c>
      <c r="C25" s="94">
        <v>5</v>
      </c>
      <c r="D25" s="95" t="s">
        <v>61</v>
      </c>
      <c r="E25" s="93">
        <v>200</v>
      </c>
      <c r="F25" s="96">
        <v>233</v>
      </c>
      <c r="G25" s="178" t="s">
        <v>57</v>
      </c>
      <c r="H25" s="97"/>
      <c r="I25" s="97"/>
      <c r="J25" s="97"/>
      <c r="K25" s="93" t="s">
        <v>31</v>
      </c>
      <c r="L25" s="99">
        <v>6</v>
      </c>
      <c r="M25" s="100">
        <v>250</v>
      </c>
      <c r="N25" s="35">
        <f>L25*M25</f>
        <v>1500</v>
      </c>
      <c r="O25" s="106">
        <v>714</v>
      </c>
      <c r="P25" s="124">
        <f t="shared" si="4"/>
        <v>786</v>
      </c>
      <c r="Q25" s="26"/>
      <c r="R25" s="49"/>
      <c r="S25" s="28"/>
      <c r="T25" s="49"/>
      <c r="U25" s="96">
        <f>L25</f>
        <v>6</v>
      </c>
      <c r="V25" s="100">
        <f>U25*M25</f>
        <v>1500</v>
      </c>
      <c r="W25" s="26"/>
      <c r="X25" s="49"/>
      <c r="Y25" s="55">
        <f>X25+V25+T25+R25</f>
        <v>1500</v>
      </c>
      <c r="Z25" s="26"/>
      <c r="AA25" s="46"/>
      <c r="AB25" s="26"/>
      <c r="AC25" s="49"/>
      <c r="AD25" s="26"/>
      <c r="AE25" s="49"/>
      <c r="AF25" s="26"/>
      <c r="AG25" s="49"/>
      <c r="AH25" s="50"/>
      <c r="AI25" s="26"/>
      <c r="AJ25" s="49"/>
      <c r="AK25" s="26"/>
      <c r="AL25" s="49"/>
      <c r="AM25" s="26"/>
      <c r="AN25" s="49"/>
      <c r="AO25" s="26"/>
      <c r="AP25" s="49"/>
      <c r="AQ25" s="51"/>
      <c r="AR25" s="70">
        <f>AQ25+AH25+Y25</f>
        <v>1500</v>
      </c>
      <c r="AS25" s="45">
        <f t="shared" si="1"/>
        <v>0</v>
      </c>
    </row>
    <row r="26" spans="1:45" ht="25.5" x14ac:dyDescent="0.25">
      <c r="A26" s="85" t="s">
        <v>34</v>
      </c>
      <c r="B26" s="85">
        <v>80</v>
      </c>
      <c r="C26" s="86">
        <v>5</v>
      </c>
      <c r="D26" s="87" t="s">
        <v>61</v>
      </c>
      <c r="E26" s="88">
        <v>200</v>
      </c>
      <c r="F26" s="88">
        <v>233</v>
      </c>
      <c r="G26" s="179" t="s">
        <v>33</v>
      </c>
      <c r="H26" s="89"/>
      <c r="I26" s="89"/>
      <c r="J26" s="89"/>
      <c r="K26" s="88" t="s">
        <v>31</v>
      </c>
      <c r="L26" s="88">
        <v>18</v>
      </c>
      <c r="M26" s="101">
        <v>200</v>
      </c>
      <c r="N26" s="70">
        <f>L26*M26</f>
        <v>3600</v>
      </c>
      <c r="O26" s="107">
        <v>2160</v>
      </c>
      <c r="P26" s="124">
        <f t="shared" si="4"/>
        <v>1440</v>
      </c>
      <c r="Q26" s="53"/>
      <c r="R26" s="53"/>
      <c r="S26" s="102">
        <f>L26</f>
        <v>18</v>
      </c>
      <c r="T26" s="103">
        <f>S26*M26</f>
        <v>3600</v>
      </c>
      <c r="U26" s="54"/>
      <c r="V26" s="53"/>
      <c r="W26" s="54"/>
      <c r="X26" s="54"/>
      <c r="Y26" s="40">
        <f>R26+T26+V26+X26</f>
        <v>3600</v>
      </c>
      <c r="Z26" s="54"/>
      <c r="AA26" s="54"/>
      <c r="AB26" s="54"/>
      <c r="AC26" s="54"/>
      <c r="AD26" s="54"/>
      <c r="AE26" s="54"/>
      <c r="AF26" s="54"/>
      <c r="AG26" s="54"/>
      <c r="AH26" s="56"/>
      <c r="AI26" s="54"/>
      <c r="AJ26" s="54"/>
      <c r="AK26" s="54"/>
      <c r="AL26" s="54"/>
      <c r="AM26" s="54"/>
      <c r="AN26" s="54"/>
      <c r="AO26" s="54"/>
      <c r="AP26" s="54"/>
      <c r="AQ26" s="68"/>
      <c r="AR26" s="76">
        <f>Y26+AH26+AQ26</f>
        <v>3600</v>
      </c>
      <c r="AS26" s="45">
        <f t="shared" si="1"/>
        <v>0</v>
      </c>
    </row>
    <row r="27" spans="1:45" ht="38.25" x14ac:dyDescent="0.25">
      <c r="A27" s="202" t="s">
        <v>34</v>
      </c>
      <c r="B27" s="202">
        <v>91</v>
      </c>
      <c r="C27" s="203">
        <v>2</v>
      </c>
      <c r="D27" s="204" t="s">
        <v>61</v>
      </c>
      <c r="E27" s="205">
        <v>200</v>
      </c>
      <c r="F27" s="205">
        <v>243</v>
      </c>
      <c r="G27" s="207" t="s">
        <v>69</v>
      </c>
      <c r="H27" s="208"/>
      <c r="I27" s="208"/>
      <c r="J27" s="208"/>
      <c r="K27" s="206" t="s">
        <v>52</v>
      </c>
      <c r="L27" s="205">
        <v>3</v>
      </c>
      <c r="M27" s="209">
        <v>750</v>
      </c>
      <c r="N27" s="210">
        <f>M27*L27</f>
        <v>2250</v>
      </c>
      <c r="O27" s="210"/>
      <c r="P27" s="211">
        <f t="shared" si="4"/>
        <v>2250</v>
      </c>
      <c r="Q27" s="31"/>
      <c r="R27" s="37"/>
      <c r="S27" s="31"/>
      <c r="T27" s="37"/>
      <c r="U27" s="6">
        <v>3</v>
      </c>
      <c r="V27" s="37">
        <v>2250</v>
      </c>
      <c r="W27" s="31"/>
      <c r="X27" s="37"/>
      <c r="Y27" s="40">
        <v>2250</v>
      </c>
      <c r="Z27" s="31"/>
      <c r="AA27" s="37"/>
      <c r="AB27" s="31"/>
      <c r="AC27" s="37"/>
      <c r="AD27" s="31"/>
      <c r="AE27" s="37"/>
      <c r="AF27" s="31"/>
      <c r="AG27" s="37"/>
      <c r="AH27" s="41"/>
      <c r="AI27" s="31"/>
      <c r="AJ27" s="37"/>
      <c r="AK27" s="31"/>
      <c r="AL27" s="37"/>
      <c r="AM27" s="31"/>
      <c r="AN27" s="37"/>
      <c r="AO27" s="31"/>
      <c r="AP27" s="37"/>
      <c r="AQ27" s="43"/>
      <c r="AR27" s="76">
        <f>Y27+AH27+AQ27</f>
        <v>2250</v>
      </c>
      <c r="AS27" s="45">
        <f t="shared" si="1"/>
        <v>0</v>
      </c>
    </row>
    <row r="28" spans="1:45" ht="38.25" x14ac:dyDescent="0.25">
      <c r="A28" s="85" t="s">
        <v>34</v>
      </c>
      <c r="B28" s="85">
        <v>93</v>
      </c>
      <c r="C28" s="90">
        <v>5</v>
      </c>
      <c r="D28" s="91" t="s">
        <v>61</v>
      </c>
      <c r="E28" s="84">
        <v>200</v>
      </c>
      <c r="F28" s="93">
        <v>244</v>
      </c>
      <c r="G28" s="176" t="s">
        <v>58</v>
      </c>
      <c r="H28" s="92"/>
      <c r="I28" s="92"/>
      <c r="J28" s="92"/>
      <c r="K28" s="93" t="s">
        <v>36</v>
      </c>
      <c r="L28" s="84">
        <v>2000</v>
      </c>
      <c r="M28" s="98">
        <v>3</v>
      </c>
      <c r="N28" s="35">
        <f>(L28*M28)</f>
        <v>6000</v>
      </c>
      <c r="O28" s="106"/>
      <c r="P28" s="124">
        <f t="shared" si="4"/>
        <v>6000</v>
      </c>
      <c r="Q28" s="31"/>
      <c r="R28" s="37"/>
      <c r="S28" s="31"/>
      <c r="T28" s="37"/>
      <c r="U28" s="80">
        <v>2000</v>
      </c>
      <c r="V28" s="81">
        <v>6000</v>
      </c>
      <c r="W28" s="31"/>
      <c r="X28" s="37"/>
      <c r="Y28" s="40">
        <f>R28+T28+V28+X28</f>
        <v>6000</v>
      </c>
      <c r="Z28" s="31"/>
      <c r="AA28" s="37"/>
      <c r="AB28" s="31"/>
      <c r="AC28" s="37"/>
      <c r="AD28" s="31"/>
      <c r="AE28" s="37"/>
      <c r="AF28" s="31"/>
      <c r="AG28" s="37"/>
      <c r="AH28" s="41"/>
      <c r="AI28" s="31"/>
      <c r="AJ28" s="37"/>
      <c r="AK28" s="31"/>
      <c r="AL28" s="37"/>
      <c r="AM28" s="31"/>
      <c r="AN28" s="37"/>
      <c r="AO28" s="31"/>
      <c r="AP28" s="37"/>
      <c r="AQ28" s="43"/>
      <c r="AR28" s="76">
        <f>Y28+AH28+AQ28</f>
        <v>6000</v>
      </c>
      <c r="AS28" s="45">
        <f t="shared" si="1"/>
        <v>0</v>
      </c>
    </row>
    <row r="29" spans="1:45" ht="25.5" x14ac:dyDescent="0.25">
      <c r="A29" s="109" t="s">
        <v>34</v>
      </c>
      <c r="B29" s="109">
        <v>113</v>
      </c>
      <c r="C29" s="110">
        <v>5</v>
      </c>
      <c r="D29" s="111" t="s">
        <v>60</v>
      </c>
      <c r="E29" s="112">
        <v>200</v>
      </c>
      <c r="F29" s="112">
        <v>284</v>
      </c>
      <c r="G29" s="180" t="s">
        <v>149</v>
      </c>
      <c r="H29" s="113"/>
      <c r="I29" s="113"/>
      <c r="J29" s="113"/>
      <c r="K29" s="114" t="s">
        <v>36</v>
      </c>
      <c r="L29" s="112">
        <v>25</v>
      </c>
      <c r="M29" s="115">
        <v>400</v>
      </c>
      <c r="N29" s="36">
        <f>(L29*M29)</f>
        <v>10000</v>
      </c>
      <c r="O29" s="108"/>
      <c r="P29" s="124">
        <f t="shared" si="4"/>
        <v>10000</v>
      </c>
      <c r="Q29" s="118"/>
      <c r="R29" s="119"/>
      <c r="S29" s="120"/>
      <c r="T29" s="119"/>
      <c r="U29" s="120"/>
      <c r="V29" s="119"/>
      <c r="W29" s="120" t="s">
        <v>130</v>
      </c>
      <c r="X29" s="119" t="s">
        <v>130</v>
      </c>
      <c r="Y29" s="40"/>
      <c r="Z29" s="169">
        <v>25</v>
      </c>
      <c r="AA29" s="129">
        <v>10000</v>
      </c>
      <c r="AB29" s="31"/>
      <c r="AC29" s="37"/>
      <c r="AD29" s="31"/>
      <c r="AE29" s="37"/>
      <c r="AF29" s="31"/>
      <c r="AG29" s="37"/>
      <c r="AH29" s="41">
        <v>10000</v>
      </c>
      <c r="AI29" s="31"/>
      <c r="AJ29" s="37"/>
      <c r="AK29" s="31"/>
      <c r="AL29" s="37"/>
      <c r="AM29" s="31"/>
      <c r="AN29" s="37"/>
      <c r="AO29" s="31"/>
      <c r="AP29" s="37"/>
      <c r="AQ29" s="43"/>
      <c r="AR29" s="76">
        <f>Y29+AH29+AQ29</f>
        <v>10000</v>
      </c>
      <c r="AS29" s="45">
        <f t="shared" si="1"/>
        <v>0</v>
      </c>
    </row>
    <row r="30" spans="1:45" ht="25.5" x14ac:dyDescent="0.25">
      <c r="A30" s="85" t="s">
        <v>34</v>
      </c>
      <c r="B30" s="85">
        <v>114</v>
      </c>
      <c r="C30" s="90">
        <v>2</v>
      </c>
      <c r="D30" s="91" t="s">
        <v>61</v>
      </c>
      <c r="E30" s="84">
        <v>200</v>
      </c>
      <c r="F30" s="84">
        <v>268</v>
      </c>
      <c r="G30" s="176" t="s">
        <v>48</v>
      </c>
      <c r="H30" s="92"/>
      <c r="I30" s="92"/>
      <c r="J30" s="92"/>
      <c r="K30" s="93" t="s">
        <v>36</v>
      </c>
      <c r="L30" s="84">
        <v>3000</v>
      </c>
      <c r="M30" s="98">
        <v>1</v>
      </c>
      <c r="N30" s="33">
        <f>M30*L30</f>
        <v>3000</v>
      </c>
      <c r="O30" s="201">
        <v>7800</v>
      </c>
      <c r="P30" s="200">
        <f t="shared" si="4"/>
        <v>-4800</v>
      </c>
      <c r="Q30" s="62"/>
      <c r="R30" s="37"/>
      <c r="S30" s="31"/>
      <c r="T30" s="37"/>
      <c r="U30" s="80">
        <v>3000</v>
      </c>
      <c r="V30" s="81">
        <v>3000</v>
      </c>
      <c r="W30" s="31"/>
      <c r="X30" s="37"/>
      <c r="Y30" s="40">
        <f>R30+T30+V30+X30</f>
        <v>3000</v>
      </c>
      <c r="Z30" s="31"/>
      <c r="AA30" s="37"/>
      <c r="AB30" s="31"/>
      <c r="AC30" s="37"/>
      <c r="AD30" s="31"/>
      <c r="AE30" s="37"/>
      <c r="AF30" s="31"/>
      <c r="AG30" s="37"/>
      <c r="AH30" s="41"/>
      <c r="AI30" s="31"/>
      <c r="AJ30" s="37"/>
      <c r="AK30" s="31"/>
      <c r="AL30" s="37"/>
      <c r="AM30" s="31"/>
      <c r="AN30" s="37"/>
      <c r="AO30" s="31"/>
      <c r="AP30" s="37"/>
      <c r="AQ30" s="43"/>
      <c r="AR30" s="76">
        <f>Y30+AH30+AQ30</f>
        <v>3000</v>
      </c>
      <c r="AS30" s="45">
        <f t="shared" si="1"/>
        <v>0</v>
      </c>
    </row>
    <row r="31" spans="1:45" ht="25.5" x14ac:dyDescent="0.25">
      <c r="A31" s="109" t="s">
        <v>34</v>
      </c>
      <c r="B31" s="109">
        <v>115</v>
      </c>
      <c r="C31" s="110">
        <v>5</v>
      </c>
      <c r="D31" s="111" t="s">
        <v>60</v>
      </c>
      <c r="E31" s="112">
        <v>200</v>
      </c>
      <c r="F31" s="112">
        <v>268</v>
      </c>
      <c r="G31" s="180" t="s">
        <v>70</v>
      </c>
      <c r="H31" s="113"/>
      <c r="I31" s="113"/>
      <c r="J31" s="113"/>
      <c r="K31" s="114" t="s">
        <v>53</v>
      </c>
      <c r="L31" s="116">
        <v>250</v>
      </c>
      <c r="M31" s="117">
        <v>10</v>
      </c>
      <c r="N31" s="36">
        <f>(L31*M31)</f>
        <v>2500</v>
      </c>
      <c r="O31" s="108"/>
      <c r="P31" s="124">
        <f t="shared" si="4"/>
        <v>2500</v>
      </c>
      <c r="Q31" s="121"/>
      <c r="R31" s="117"/>
      <c r="S31" s="112"/>
      <c r="T31" s="119"/>
      <c r="U31" s="112"/>
      <c r="V31" s="119"/>
      <c r="W31" s="112" t="s">
        <v>130</v>
      </c>
      <c r="X31" s="119" t="s">
        <v>130</v>
      </c>
      <c r="Y31" s="40">
        <v>2500</v>
      </c>
      <c r="Z31" s="170">
        <v>250</v>
      </c>
      <c r="AA31" s="129">
        <v>2500</v>
      </c>
      <c r="AB31" s="26"/>
      <c r="AC31" s="39"/>
      <c r="AD31" s="26"/>
      <c r="AE31" s="39"/>
      <c r="AF31" s="26"/>
      <c r="AG31" s="39"/>
      <c r="AH31" s="42">
        <v>2500</v>
      </c>
      <c r="AI31" s="26"/>
      <c r="AJ31" s="39"/>
      <c r="AK31" s="26"/>
      <c r="AL31" s="39"/>
      <c r="AM31" s="26"/>
      <c r="AN31" s="39"/>
      <c r="AO31" s="26"/>
      <c r="AP31" s="39"/>
      <c r="AQ31" s="47"/>
      <c r="AR31" s="79">
        <v>2500</v>
      </c>
      <c r="AS31" s="45">
        <f t="shared" si="1"/>
        <v>0</v>
      </c>
    </row>
    <row r="32" spans="1:45" ht="25.5" x14ac:dyDescent="0.25">
      <c r="A32" s="109" t="s">
        <v>34</v>
      </c>
      <c r="B32" s="109">
        <v>127</v>
      </c>
      <c r="C32" s="110">
        <v>5</v>
      </c>
      <c r="D32" s="111" t="s">
        <v>61</v>
      </c>
      <c r="E32" s="112">
        <v>200</v>
      </c>
      <c r="F32" s="112">
        <v>289</v>
      </c>
      <c r="G32" s="180" t="s">
        <v>49</v>
      </c>
      <c r="H32" s="113"/>
      <c r="I32" s="113"/>
      <c r="J32" s="113"/>
      <c r="K32" s="114" t="s">
        <v>37</v>
      </c>
      <c r="L32" s="112">
        <v>250</v>
      </c>
      <c r="M32" s="115">
        <v>25</v>
      </c>
      <c r="N32" s="35">
        <f>(L32*M32)</f>
        <v>6250</v>
      </c>
      <c r="O32" s="106"/>
      <c r="P32" s="124">
        <f t="shared" si="4"/>
        <v>6250</v>
      </c>
      <c r="Q32" s="120"/>
      <c r="R32" s="119"/>
      <c r="S32" s="120"/>
      <c r="T32" s="119"/>
      <c r="U32" s="120"/>
      <c r="V32" s="119"/>
      <c r="W32" s="120" t="s">
        <v>130</v>
      </c>
      <c r="X32" s="119" t="s">
        <v>130</v>
      </c>
      <c r="Y32" s="40"/>
      <c r="Z32" s="169">
        <v>250</v>
      </c>
      <c r="AA32" s="129">
        <v>6250</v>
      </c>
      <c r="AB32" s="31"/>
      <c r="AC32" s="37"/>
      <c r="AD32" s="31"/>
      <c r="AE32" s="37"/>
      <c r="AF32" s="31"/>
      <c r="AG32" s="37"/>
      <c r="AH32" s="41">
        <v>6250</v>
      </c>
      <c r="AI32" s="31"/>
      <c r="AJ32" s="37"/>
      <c r="AK32" s="31"/>
      <c r="AL32" s="37"/>
      <c r="AM32" s="31"/>
      <c r="AN32" s="37"/>
      <c r="AO32" s="31"/>
      <c r="AP32" s="37"/>
      <c r="AQ32" s="43"/>
      <c r="AR32" s="76">
        <f>Y32+AH32+AQ32</f>
        <v>6250</v>
      </c>
      <c r="AS32" s="45">
        <f t="shared" si="1"/>
        <v>0</v>
      </c>
    </row>
    <row r="33" spans="1:45" ht="38.25" customHeight="1" x14ac:dyDescent="0.25">
      <c r="A33" s="85" t="s">
        <v>34</v>
      </c>
      <c r="B33" s="85">
        <v>133</v>
      </c>
      <c r="C33" s="90">
        <v>2</v>
      </c>
      <c r="D33" s="91" t="s">
        <v>60</v>
      </c>
      <c r="E33" s="84">
        <v>200</v>
      </c>
      <c r="F33" s="84">
        <v>291</v>
      </c>
      <c r="G33" s="176" t="s">
        <v>50</v>
      </c>
      <c r="H33" s="92"/>
      <c r="I33" s="92"/>
      <c r="J33" s="92"/>
      <c r="K33" s="93" t="s">
        <v>37</v>
      </c>
      <c r="L33" s="84">
        <v>2500</v>
      </c>
      <c r="M33" s="98">
        <v>3.5</v>
      </c>
      <c r="N33" s="32">
        <f>M33*L33</f>
        <v>8750</v>
      </c>
      <c r="O33" s="105">
        <v>8747.52</v>
      </c>
      <c r="P33" s="124">
        <f t="shared" si="4"/>
        <v>2.4799999999995634</v>
      </c>
      <c r="Q33" s="31"/>
      <c r="R33" s="37"/>
      <c r="S33" s="31"/>
      <c r="T33" s="37"/>
      <c r="U33" s="80">
        <v>2500</v>
      </c>
      <c r="V33" s="81">
        <v>8750</v>
      </c>
      <c r="W33" s="31"/>
      <c r="X33" s="37"/>
      <c r="Y33" s="40">
        <f>R33+T33+V33+X33</f>
        <v>8750</v>
      </c>
      <c r="Z33" s="31"/>
      <c r="AA33" s="37"/>
      <c r="AB33" s="31"/>
      <c r="AC33" s="37"/>
      <c r="AD33" s="31"/>
      <c r="AE33" s="37"/>
      <c r="AF33" s="31"/>
      <c r="AG33" s="37"/>
      <c r="AH33" s="41"/>
      <c r="AI33" s="31"/>
      <c r="AJ33" s="37"/>
      <c r="AK33" s="31"/>
      <c r="AL33" s="37"/>
      <c r="AM33" s="31"/>
      <c r="AN33" s="37"/>
      <c r="AO33" s="31"/>
      <c r="AP33" s="37"/>
      <c r="AQ33" s="43"/>
      <c r="AR33" s="76">
        <f>Y33+AH33+AQ33</f>
        <v>8750</v>
      </c>
      <c r="AS33" s="45">
        <f t="shared" si="1"/>
        <v>0</v>
      </c>
    </row>
    <row r="34" spans="1:45" ht="25.5" x14ac:dyDescent="0.25">
      <c r="A34" s="109" t="s">
        <v>34</v>
      </c>
      <c r="B34" s="109">
        <v>135</v>
      </c>
      <c r="C34" s="110">
        <v>5</v>
      </c>
      <c r="D34" s="111" t="s">
        <v>61</v>
      </c>
      <c r="E34" s="112">
        <v>200</v>
      </c>
      <c r="F34" s="112">
        <v>291</v>
      </c>
      <c r="G34" s="180" t="s">
        <v>51</v>
      </c>
      <c r="H34" s="113"/>
      <c r="I34" s="113"/>
      <c r="J34" s="113"/>
      <c r="K34" s="114" t="s">
        <v>36</v>
      </c>
      <c r="L34" s="112">
        <v>50</v>
      </c>
      <c r="M34" s="115">
        <v>70</v>
      </c>
      <c r="N34" s="35">
        <f>(L34*M34)</f>
        <v>3500</v>
      </c>
      <c r="O34" s="106"/>
      <c r="P34" s="124">
        <f t="shared" si="4"/>
        <v>3500</v>
      </c>
      <c r="Q34" s="120"/>
      <c r="R34" s="119"/>
      <c r="S34" s="120"/>
      <c r="T34" s="119"/>
      <c r="U34" s="120"/>
      <c r="V34" s="119"/>
      <c r="W34" s="120" t="s">
        <v>130</v>
      </c>
      <c r="X34" s="119" t="s">
        <v>130</v>
      </c>
      <c r="Y34" s="40"/>
      <c r="Z34" s="169">
        <v>50</v>
      </c>
      <c r="AA34" s="129">
        <v>3500</v>
      </c>
      <c r="AB34" s="31"/>
      <c r="AC34" s="37"/>
      <c r="AD34" s="31"/>
      <c r="AE34" s="37"/>
      <c r="AF34" s="31"/>
      <c r="AG34" s="37"/>
      <c r="AH34" s="41">
        <v>3500</v>
      </c>
      <c r="AI34" s="31"/>
      <c r="AJ34" s="37"/>
      <c r="AK34" s="31"/>
      <c r="AL34" s="37"/>
      <c r="AM34" s="31"/>
      <c r="AN34" s="37"/>
      <c r="AO34" s="31"/>
      <c r="AP34" s="37"/>
      <c r="AQ34" s="43"/>
      <c r="AR34" s="76">
        <f>Y34+AH34+AQ34</f>
        <v>3500</v>
      </c>
      <c r="AS34" s="45">
        <f t="shared" si="1"/>
        <v>0</v>
      </c>
    </row>
    <row r="35" spans="1:45" ht="35.25" customHeight="1" x14ac:dyDescent="0.25">
      <c r="A35" s="144" t="s">
        <v>34</v>
      </c>
      <c r="B35" s="147">
        <v>145</v>
      </c>
      <c r="C35" s="145">
        <v>2</v>
      </c>
      <c r="D35" s="146" t="s">
        <v>60</v>
      </c>
      <c r="E35" s="147">
        <v>200</v>
      </c>
      <c r="F35" s="148">
        <v>294</v>
      </c>
      <c r="G35" s="174" t="s">
        <v>64</v>
      </c>
      <c r="H35" s="155"/>
      <c r="I35" s="155"/>
      <c r="J35" s="155"/>
      <c r="K35" s="148" t="s">
        <v>36</v>
      </c>
      <c r="L35" s="147">
        <v>500</v>
      </c>
      <c r="M35" s="156">
        <v>15</v>
      </c>
      <c r="N35" s="32">
        <f>M35*L35</f>
        <v>7500</v>
      </c>
      <c r="O35" s="105"/>
      <c r="P35" s="124">
        <f t="shared" si="4"/>
        <v>7500</v>
      </c>
      <c r="Q35" s="31"/>
      <c r="R35" s="37"/>
      <c r="S35" s="31"/>
      <c r="T35" s="37"/>
      <c r="U35" s="31"/>
      <c r="V35" s="37"/>
      <c r="W35" s="31"/>
      <c r="X35" s="37"/>
      <c r="Y35" s="40"/>
      <c r="Z35" s="31"/>
      <c r="AA35" s="37"/>
      <c r="AB35" s="31"/>
      <c r="AC35" s="37"/>
      <c r="AD35" s="31">
        <v>500</v>
      </c>
      <c r="AE35" s="37">
        <v>7500</v>
      </c>
      <c r="AF35" s="31"/>
      <c r="AG35" s="37"/>
      <c r="AH35" s="41">
        <f>AA35+AC35+AE35+AG35</f>
        <v>7500</v>
      </c>
      <c r="AI35" s="31"/>
      <c r="AJ35" s="37"/>
      <c r="AK35" s="31"/>
      <c r="AL35" s="37"/>
      <c r="AM35" s="31"/>
      <c r="AN35" s="37"/>
      <c r="AO35" s="31"/>
      <c r="AP35" s="37"/>
      <c r="AQ35" s="43"/>
      <c r="AR35" s="76">
        <f>Y35+AH35+AQ35</f>
        <v>7500</v>
      </c>
      <c r="AS35" s="45">
        <f t="shared" si="1"/>
        <v>0</v>
      </c>
    </row>
    <row r="36" spans="1:45" ht="38.25" x14ac:dyDescent="0.25">
      <c r="A36" s="144" t="s">
        <v>34</v>
      </c>
      <c r="B36" s="147">
        <v>146</v>
      </c>
      <c r="C36" s="152">
        <v>2</v>
      </c>
      <c r="D36" s="153" t="s">
        <v>62</v>
      </c>
      <c r="E36" s="147">
        <v>200</v>
      </c>
      <c r="F36" s="147">
        <v>268</v>
      </c>
      <c r="G36" s="181" t="s">
        <v>65</v>
      </c>
      <c r="H36" s="158"/>
      <c r="I36" s="158"/>
      <c r="J36" s="158"/>
      <c r="K36" s="148" t="s">
        <v>37</v>
      </c>
      <c r="L36" s="147">
        <v>450</v>
      </c>
      <c r="M36" s="156">
        <v>15</v>
      </c>
      <c r="N36" s="32">
        <f>M36*L36</f>
        <v>6750</v>
      </c>
      <c r="O36" s="105">
        <v>226</v>
      </c>
      <c r="P36" s="124">
        <f t="shared" si="4"/>
        <v>6524</v>
      </c>
      <c r="Q36" s="31"/>
      <c r="R36" s="37"/>
      <c r="S36" s="31"/>
      <c r="T36" s="37"/>
      <c r="U36" s="31"/>
      <c r="V36" s="37"/>
      <c r="W36" s="31"/>
      <c r="X36" s="37"/>
      <c r="Y36" s="40"/>
      <c r="Z36" s="80">
        <v>400</v>
      </c>
      <c r="AA36" s="81">
        <v>6750</v>
      </c>
      <c r="AB36" s="31"/>
      <c r="AC36" s="37"/>
      <c r="AD36" s="31"/>
      <c r="AE36" s="37"/>
      <c r="AF36" s="31"/>
      <c r="AG36" s="37"/>
      <c r="AH36" s="41">
        <v>6750</v>
      </c>
      <c r="AI36" s="31"/>
      <c r="AJ36" s="37"/>
      <c r="AK36" s="31"/>
      <c r="AL36" s="37"/>
      <c r="AM36" s="31"/>
      <c r="AN36" s="37"/>
      <c r="AO36" s="31"/>
      <c r="AP36" s="37"/>
      <c r="AQ36" s="43"/>
      <c r="AR36" s="76">
        <f>Y36+AH36+AQ36</f>
        <v>6750</v>
      </c>
      <c r="AS36" s="45">
        <f t="shared" si="1"/>
        <v>0</v>
      </c>
    </row>
    <row r="37" spans="1:45" x14ac:dyDescent="0.25">
      <c r="A37" s="34"/>
      <c r="B37" s="34"/>
      <c r="C37" s="34"/>
      <c r="D37" s="71"/>
      <c r="E37" s="34"/>
      <c r="F37" s="34" t="s">
        <v>55</v>
      </c>
      <c r="G37" s="182"/>
      <c r="H37" s="57"/>
      <c r="I37" s="57"/>
      <c r="J37" s="57"/>
      <c r="K37" s="34"/>
      <c r="L37" s="34"/>
      <c r="M37" s="65"/>
      <c r="N37" s="69">
        <f>SUM(N3:N36)</f>
        <v>365100</v>
      </c>
      <c r="O37" s="69"/>
      <c r="P37" s="69"/>
      <c r="Q37" s="69">
        <f t="shared" ref="Q37:AS37" si="5">SUM(Q3:Q36)</f>
        <v>0</v>
      </c>
      <c r="R37" s="69">
        <f t="shared" si="5"/>
        <v>0</v>
      </c>
      <c r="S37" s="69">
        <f t="shared" si="5"/>
        <v>5023</v>
      </c>
      <c r="T37" s="69">
        <f t="shared" si="5"/>
        <v>14100</v>
      </c>
      <c r="U37" s="69">
        <f t="shared" si="5"/>
        <v>18590</v>
      </c>
      <c r="V37" s="69">
        <f t="shared" si="5"/>
        <v>86560</v>
      </c>
      <c r="W37" s="69">
        <f t="shared" si="5"/>
        <v>13</v>
      </c>
      <c r="X37" s="69">
        <f t="shared" si="5"/>
        <v>3860</v>
      </c>
      <c r="Y37" s="69">
        <f t="shared" si="5"/>
        <v>107020</v>
      </c>
      <c r="Z37" s="69">
        <f t="shared" si="5"/>
        <v>7521</v>
      </c>
      <c r="AA37" s="69">
        <f t="shared" si="5"/>
        <v>54710</v>
      </c>
      <c r="AB37" s="69">
        <f t="shared" si="5"/>
        <v>47</v>
      </c>
      <c r="AC37" s="69">
        <f t="shared" si="5"/>
        <v>7310</v>
      </c>
      <c r="AD37" s="69">
        <f t="shared" si="5"/>
        <v>2614</v>
      </c>
      <c r="AE37" s="69">
        <f t="shared" si="5"/>
        <v>45460</v>
      </c>
      <c r="AF37" s="69">
        <f t="shared" si="5"/>
        <v>12663</v>
      </c>
      <c r="AG37" s="69">
        <f t="shared" si="5"/>
        <v>135860</v>
      </c>
      <c r="AH37" s="69">
        <f t="shared" si="5"/>
        <v>243340</v>
      </c>
      <c r="AI37" s="69">
        <f t="shared" si="5"/>
        <v>84</v>
      </c>
      <c r="AJ37" s="69">
        <f t="shared" si="5"/>
        <v>12240</v>
      </c>
      <c r="AK37" s="69">
        <f t="shared" si="5"/>
        <v>15</v>
      </c>
      <c r="AL37" s="69">
        <f t="shared" si="5"/>
        <v>4700</v>
      </c>
      <c r="AM37" s="69">
        <f t="shared" si="5"/>
        <v>3</v>
      </c>
      <c r="AN37" s="69">
        <f t="shared" si="5"/>
        <v>300</v>
      </c>
      <c r="AO37" s="69">
        <f t="shared" si="5"/>
        <v>0</v>
      </c>
      <c r="AP37" s="69">
        <f t="shared" si="5"/>
        <v>0</v>
      </c>
      <c r="AQ37" s="69">
        <f t="shared" si="5"/>
        <v>17240</v>
      </c>
      <c r="AR37" s="69">
        <f t="shared" si="5"/>
        <v>365100</v>
      </c>
      <c r="AS37" s="69">
        <f t="shared" si="5"/>
        <v>0</v>
      </c>
    </row>
    <row r="42" spans="1:45" ht="36.75" customHeight="1" x14ac:dyDescent="0.25">
      <c r="A42" s="227" t="s">
        <v>140</v>
      </c>
    </row>
    <row r="43" spans="1:45" s="214" customFormat="1" ht="58.5" customHeight="1" x14ac:dyDescent="0.25">
      <c r="A43" s="202" t="s">
        <v>34</v>
      </c>
      <c r="B43" s="202"/>
      <c r="C43" s="203">
        <v>2</v>
      </c>
      <c r="D43" s="204" t="s">
        <v>61</v>
      </c>
      <c r="E43" s="205">
        <v>100</v>
      </c>
      <c r="F43" s="206">
        <v>122</v>
      </c>
      <c r="G43" s="207" t="s">
        <v>136</v>
      </c>
      <c r="H43" s="208"/>
      <c r="I43" s="208"/>
      <c r="J43" s="208"/>
      <c r="K43" s="206" t="s">
        <v>137</v>
      </c>
      <c r="L43" s="205">
        <v>343</v>
      </c>
      <c r="M43" s="209">
        <v>28</v>
      </c>
      <c r="N43" s="210">
        <f>M43*L43</f>
        <v>9604</v>
      </c>
      <c r="O43" s="210"/>
      <c r="P43" s="211"/>
      <c r="Q43" s="212"/>
      <c r="R43" s="41"/>
      <c r="S43" s="212"/>
      <c r="T43" s="41"/>
      <c r="U43" s="205"/>
      <c r="V43" s="41"/>
      <c r="W43" s="212"/>
      <c r="X43" s="41"/>
      <c r="Y43" s="41"/>
      <c r="Z43" s="212"/>
      <c r="AA43" s="41"/>
      <c r="AB43" s="212"/>
      <c r="AC43" s="41"/>
      <c r="AD43" s="212">
        <v>343</v>
      </c>
      <c r="AE43" s="41">
        <v>9604</v>
      </c>
      <c r="AF43" s="212"/>
      <c r="AG43" s="41"/>
      <c r="AH43" s="41">
        <v>9604</v>
      </c>
      <c r="AI43" s="212"/>
      <c r="AJ43" s="41"/>
      <c r="AK43" s="212"/>
      <c r="AL43" s="41"/>
      <c r="AM43" s="212"/>
      <c r="AN43" s="41"/>
      <c r="AO43" s="212"/>
      <c r="AP43" s="41"/>
      <c r="AQ43" s="41"/>
      <c r="AR43" s="213"/>
      <c r="AS43" s="50"/>
    </row>
    <row r="44" spans="1:45" ht="57.75" customHeight="1" x14ac:dyDescent="0.25"/>
    <row r="45" spans="1:45" x14ac:dyDescent="0.25">
      <c r="A45" s="263" t="s">
        <v>151</v>
      </c>
      <c r="B45" s="263"/>
      <c r="C45" s="263"/>
      <c r="D45" s="263"/>
      <c r="E45" s="263"/>
      <c r="F45" s="263"/>
      <c r="G45" s="263"/>
    </row>
    <row r="46" spans="1:45" x14ac:dyDescent="0.25">
      <c r="A46" s="263"/>
      <c r="B46" s="263"/>
      <c r="C46" s="263"/>
      <c r="D46" s="263"/>
      <c r="E46" s="263"/>
      <c r="F46" s="263"/>
      <c r="G46" s="263"/>
    </row>
    <row r="47" spans="1:45" ht="29.25" customHeight="1" x14ac:dyDescent="0.25">
      <c r="A47" s="263"/>
      <c r="B47" s="263"/>
      <c r="C47" s="263"/>
      <c r="D47" s="263"/>
      <c r="E47" s="263"/>
      <c r="F47" s="263"/>
      <c r="G47" s="263"/>
    </row>
    <row r="49" spans="1:7" ht="15" customHeight="1" x14ac:dyDescent="0.25">
      <c r="A49" s="264" t="s">
        <v>148</v>
      </c>
      <c r="B49" s="264"/>
      <c r="C49" s="264"/>
      <c r="D49" s="264"/>
      <c r="E49" s="264"/>
      <c r="F49" s="264"/>
      <c r="G49" s="264"/>
    </row>
    <row r="50" spans="1:7" x14ac:dyDescent="0.25">
      <c r="A50" s="264"/>
      <c r="B50" s="264"/>
      <c r="C50" s="264"/>
      <c r="D50" s="264"/>
      <c r="E50" s="264"/>
      <c r="F50" s="264"/>
      <c r="G50" s="264"/>
    </row>
    <row r="51" spans="1:7" x14ac:dyDescent="0.25">
      <c r="A51" s="264"/>
      <c r="B51" s="264"/>
      <c r="C51" s="264"/>
      <c r="D51" s="264"/>
      <c r="E51" s="264"/>
      <c r="F51" s="264"/>
      <c r="G51" s="264"/>
    </row>
  </sheetData>
  <autoFilter ref="A2:AS37"/>
  <mergeCells count="14">
    <mergeCell ref="A45:G47"/>
    <mergeCell ref="A49:G51"/>
    <mergeCell ref="AO1:AP1"/>
    <mergeCell ref="Q1:R1"/>
    <mergeCell ref="S1:T1"/>
    <mergeCell ref="U1:V1"/>
    <mergeCell ref="W1:X1"/>
    <mergeCell ref="Z1:AA1"/>
    <mergeCell ref="AB1:AC1"/>
    <mergeCell ref="AD1:AE1"/>
    <mergeCell ref="AF1:AG1"/>
    <mergeCell ref="AI1:AJ1"/>
    <mergeCell ref="AK1:AL1"/>
    <mergeCell ref="AM1:AN1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T56"/>
  <sheetViews>
    <sheetView zoomScale="90" zoomScaleNormal="90" workbookViewId="0">
      <pane ySplit="1" topLeftCell="A50" activePane="bottomLeft" state="frozen"/>
      <selection activeCell="N1" sqref="N1"/>
      <selection pane="bottomLeft" activeCell="A54" sqref="A54:G56"/>
    </sheetView>
  </sheetViews>
  <sheetFormatPr baseColWidth="10" defaultRowHeight="15" x14ac:dyDescent="0.25"/>
  <cols>
    <col min="1" max="1" width="16.5703125" customWidth="1"/>
    <col min="2" max="2" width="12.7109375" customWidth="1"/>
    <col min="3" max="3" width="9.85546875" customWidth="1"/>
    <col min="4" max="4" width="8.7109375" customWidth="1"/>
    <col min="5" max="6" width="9.28515625" customWidth="1"/>
    <col min="7" max="7" width="29.85546875" style="183" customWidth="1"/>
    <col min="8" max="8" width="28.5703125" hidden="1" customWidth="1"/>
    <col min="9" max="9" width="7.28515625" hidden="1" customWidth="1"/>
    <col min="10" max="10" width="6.85546875" hidden="1" customWidth="1"/>
    <col min="11" max="11" width="13.140625" customWidth="1"/>
    <col min="12" max="12" width="9.28515625" customWidth="1"/>
    <col min="13" max="13" width="13.140625" customWidth="1"/>
    <col min="14" max="14" width="17.5703125" style="236" customWidth="1"/>
    <col min="15" max="17" width="18.85546875" customWidth="1"/>
    <col min="18" max="18" width="11.42578125" customWidth="1"/>
    <col min="19" max="19" width="16.5703125" customWidth="1"/>
    <col min="20" max="20" width="14.85546875" customWidth="1"/>
    <col min="21" max="21" width="16.7109375" customWidth="1"/>
    <col min="22" max="22" width="17.5703125" customWidth="1"/>
    <col min="23" max="23" width="15.7109375" customWidth="1"/>
    <col min="24" max="24" width="12.5703125" customWidth="1"/>
    <col min="25" max="25" width="17.85546875" customWidth="1"/>
    <col min="26" max="26" width="18.5703125" customWidth="1"/>
    <col min="27" max="27" width="11.42578125" customWidth="1"/>
    <col min="28" max="28" width="15.28515625" customWidth="1"/>
    <col min="29" max="29" width="11.42578125" customWidth="1"/>
    <col min="30" max="30" width="14" customWidth="1"/>
    <col min="31" max="31" width="11.42578125" customWidth="1"/>
    <col min="32" max="32" width="14.85546875" customWidth="1"/>
    <col min="33" max="33" width="11.42578125" customWidth="1"/>
    <col min="34" max="34" width="15.140625" customWidth="1"/>
    <col min="35" max="35" width="17.140625" customWidth="1"/>
    <col min="36" max="36" width="13.140625" customWidth="1"/>
    <col min="37" max="37" width="16.85546875" customWidth="1"/>
    <col min="38" max="38" width="14.85546875" customWidth="1"/>
    <col min="39" max="39" width="14.7109375" customWidth="1"/>
    <col min="40" max="40" width="12.7109375" customWidth="1"/>
    <col min="41" max="41" width="17.5703125" customWidth="1"/>
    <col min="42" max="42" width="13.140625" customWidth="1"/>
    <col min="43" max="43" width="15.5703125" customWidth="1"/>
    <col min="44" max="44" width="17.7109375" customWidth="1"/>
    <col min="45" max="45" width="17.28515625" customWidth="1"/>
    <col min="46" max="46" width="16.42578125" customWidth="1"/>
  </cols>
  <sheetData>
    <row r="1" spans="1:46" ht="57.75" customHeight="1" x14ac:dyDescent="0.25">
      <c r="A1" s="3" t="s">
        <v>16</v>
      </c>
      <c r="B1" s="3" t="s">
        <v>54</v>
      </c>
      <c r="C1" s="14" t="s">
        <v>17</v>
      </c>
      <c r="D1" s="72" t="s">
        <v>59</v>
      </c>
      <c r="E1" s="14" t="s">
        <v>18</v>
      </c>
      <c r="F1" s="14" t="s">
        <v>19</v>
      </c>
      <c r="G1" s="171" t="s">
        <v>72</v>
      </c>
      <c r="H1" s="58" t="s">
        <v>73</v>
      </c>
      <c r="I1" s="14" t="s">
        <v>74</v>
      </c>
      <c r="J1" s="14" t="s">
        <v>75</v>
      </c>
      <c r="K1" s="14" t="s">
        <v>20</v>
      </c>
      <c r="L1" s="15" t="s">
        <v>21</v>
      </c>
      <c r="M1" s="63" t="s">
        <v>22</v>
      </c>
      <c r="N1" s="63" t="s">
        <v>156</v>
      </c>
      <c r="O1" s="249" t="s">
        <v>23</v>
      </c>
      <c r="P1" s="104" t="s">
        <v>90</v>
      </c>
      <c r="Q1" s="123" t="s">
        <v>89</v>
      </c>
      <c r="R1" s="266" t="s">
        <v>0</v>
      </c>
      <c r="S1" s="267"/>
      <c r="T1" s="267" t="s">
        <v>1</v>
      </c>
      <c r="U1" s="267"/>
      <c r="V1" s="267" t="s">
        <v>2</v>
      </c>
      <c r="W1" s="267"/>
      <c r="X1" s="267" t="s">
        <v>3</v>
      </c>
      <c r="Y1" s="267"/>
      <c r="Z1" s="12" t="s">
        <v>4</v>
      </c>
      <c r="AA1" s="268" t="s">
        <v>5</v>
      </c>
      <c r="AB1" s="268"/>
      <c r="AC1" s="268" t="s">
        <v>6</v>
      </c>
      <c r="AD1" s="268"/>
      <c r="AE1" s="268" t="s">
        <v>7</v>
      </c>
      <c r="AF1" s="268"/>
      <c r="AG1" s="268" t="s">
        <v>8</v>
      </c>
      <c r="AH1" s="268"/>
      <c r="AI1" s="13" t="s">
        <v>9</v>
      </c>
      <c r="AJ1" s="265" t="s">
        <v>10</v>
      </c>
      <c r="AK1" s="265"/>
      <c r="AL1" s="265" t="s">
        <v>11</v>
      </c>
      <c r="AM1" s="265"/>
      <c r="AN1" s="265" t="s">
        <v>12</v>
      </c>
      <c r="AO1" s="265"/>
      <c r="AP1" s="265" t="s">
        <v>13</v>
      </c>
      <c r="AQ1" s="265"/>
      <c r="AR1" s="2" t="s">
        <v>14</v>
      </c>
      <c r="AS1" s="1"/>
      <c r="AT1" s="1" t="s">
        <v>29</v>
      </c>
    </row>
    <row r="2" spans="1:46" ht="63.75" x14ac:dyDescent="0.25">
      <c r="A2" s="3" t="s">
        <v>16</v>
      </c>
      <c r="B2" s="3" t="s">
        <v>54</v>
      </c>
      <c r="C2" s="14" t="s">
        <v>17</v>
      </c>
      <c r="D2" s="72" t="s">
        <v>59</v>
      </c>
      <c r="E2" s="14" t="s">
        <v>18</v>
      </c>
      <c r="F2" s="14" t="s">
        <v>19</v>
      </c>
      <c r="G2" s="171" t="s">
        <v>72</v>
      </c>
      <c r="H2" s="58" t="s">
        <v>73</v>
      </c>
      <c r="I2" s="14" t="s">
        <v>74</v>
      </c>
      <c r="J2" s="14" t="s">
        <v>75</v>
      </c>
      <c r="K2" s="14" t="s">
        <v>20</v>
      </c>
      <c r="L2" s="15" t="s">
        <v>21</v>
      </c>
      <c r="M2" s="63" t="s">
        <v>22</v>
      </c>
      <c r="N2" s="63"/>
      <c r="O2" s="249" t="s">
        <v>23</v>
      </c>
      <c r="P2" s="104" t="s">
        <v>90</v>
      </c>
      <c r="Q2" s="123" t="s">
        <v>89</v>
      </c>
      <c r="R2" s="16" t="s">
        <v>24</v>
      </c>
      <c r="S2" s="17" t="s">
        <v>25</v>
      </c>
      <c r="T2" s="18" t="s">
        <v>24</v>
      </c>
      <c r="U2" s="17" t="s">
        <v>25</v>
      </c>
      <c r="V2" s="18" t="s">
        <v>24</v>
      </c>
      <c r="W2" s="17" t="s">
        <v>25</v>
      </c>
      <c r="X2" s="18" t="s">
        <v>24</v>
      </c>
      <c r="Y2" s="19" t="s">
        <v>25</v>
      </c>
      <c r="Z2" s="19" t="s">
        <v>26</v>
      </c>
      <c r="AA2" s="20" t="s">
        <v>24</v>
      </c>
      <c r="AB2" s="21" t="s">
        <v>25</v>
      </c>
      <c r="AC2" s="20" t="s">
        <v>24</v>
      </c>
      <c r="AD2" s="21" t="s">
        <v>25</v>
      </c>
      <c r="AE2" s="20" t="s">
        <v>24</v>
      </c>
      <c r="AF2" s="21" t="s">
        <v>25</v>
      </c>
      <c r="AG2" s="20" t="s">
        <v>24</v>
      </c>
      <c r="AH2" s="21" t="s">
        <v>25</v>
      </c>
      <c r="AI2" s="21" t="s">
        <v>27</v>
      </c>
      <c r="AJ2" s="22" t="s">
        <v>24</v>
      </c>
      <c r="AK2" s="23" t="s">
        <v>25</v>
      </c>
      <c r="AL2" s="22" t="s">
        <v>24</v>
      </c>
      <c r="AM2" s="23" t="s">
        <v>25</v>
      </c>
      <c r="AN2" s="22" t="s">
        <v>24</v>
      </c>
      <c r="AO2" s="23" t="s">
        <v>25</v>
      </c>
      <c r="AP2" s="22" t="s">
        <v>24</v>
      </c>
      <c r="AQ2" s="24" t="s">
        <v>25</v>
      </c>
      <c r="AR2" s="25" t="s">
        <v>28</v>
      </c>
      <c r="AS2" s="48" t="s">
        <v>4</v>
      </c>
      <c r="AT2" s="4" t="s">
        <v>15</v>
      </c>
    </row>
    <row r="3" spans="1:46" ht="51" x14ac:dyDescent="0.25">
      <c r="A3" s="5" t="s">
        <v>34</v>
      </c>
      <c r="B3" s="5">
        <v>8</v>
      </c>
      <c r="C3" s="29">
        <v>2</v>
      </c>
      <c r="D3" s="74" t="s">
        <v>60</v>
      </c>
      <c r="E3" s="6">
        <v>100</v>
      </c>
      <c r="F3" s="11">
        <v>114</v>
      </c>
      <c r="G3" s="172" t="s">
        <v>66</v>
      </c>
      <c r="H3" s="60" t="s">
        <v>76</v>
      </c>
      <c r="I3" s="60"/>
      <c r="J3" s="60"/>
      <c r="K3" s="30" t="s">
        <v>35</v>
      </c>
      <c r="L3" s="7">
        <v>50</v>
      </c>
      <c r="M3" s="38">
        <v>100</v>
      </c>
      <c r="N3" s="243">
        <v>4700</v>
      </c>
      <c r="O3" s="250">
        <f>M3*L3</f>
        <v>5000</v>
      </c>
      <c r="P3" s="105">
        <v>406</v>
      </c>
      <c r="Q3" s="124">
        <f t="shared" ref="Q3:Q18" si="0">(O3-P3)</f>
        <v>4594</v>
      </c>
      <c r="R3" s="31"/>
      <c r="S3" s="37"/>
      <c r="T3" s="31">
        <v>5</v>
      </c>
      <c r="U3" s="37">
        <v>500</v>
      </c>
      <c r="V3" s="31">
        <v>5</v>
      </c>
      <c r="W3" s="37">
        <v>500</v>
      </c>
      <c r="X3" s="31">
        <v>5</v>
      </c>
      <c r="Y3" s="37">
        <v>500</v>
      </c>
      <c r="Z3" s="40">
        <f>S3+U3+W3+Y3</f>
        <v>1500</v>
      </c>
      <c r="AA3" s="31">
        <v>5</v>
      </c>
      <c r="AB3" s="37">
        <v>500</v>
      </c>
      <c r="AC3" s="31">
        <v>6</v>
      </c>
      <c r="AD3" s="37">
        <v>600</v>
      </c>
      <c r="AE3" s="31">
        <v>6</v>
      </c>
      <c r="AF3" s="37">
        <v>600</v>
      </c>
      <c r="AG3" s="31">
        <v>5</v>
      </c>
      <c r="AH3" s="37">
        <v>500</v>
      </c>
      <c r="AI3" s="41">
        <f>AB3+AD3+AF3+AH3</f>
        <v>2200</v>
      </c>
      <c r="AJ3" s="31">
        <v>5</v>
      </c>
      <c r="AK3" s="37">
        <v>500</v>
      </c>
      <c r="AL3" s="31">
        <v>5</v>
      </c>
      <c r="AM3" s="37">
        <v>500</v>
      </c>
      <c r="AN3" s="31">
        <v>3</v>
      </c>
      <c r="AO3" s="37">
        <v>300</v>
      </c>
      <c r="AP3" s="31"/>
      <c r="AQ3" s="37"/>
      <c r="AR3" s="43">
        <f>AK3+AM3+AO3+AQ3</f>
        <v>1300</v>
      </c>
      <c r="AS3" s="44">
        <f>Z3+AI3+AR3</f>
        <v>5000</v>
      </c>
      <c r="AT3" s="45">
        <f t="shared" ref="AT3:AT35" si="1">O3-AS3</f>
        <v>0</v>
      </c>
    </row>
    <row r="4" spans="1:46" ht="35.25" customHeight="1" x14ac:dyDescent="0.25">
      <c r="A4" s="144" t="s">
        <v>34</v>
      </c>
      <c r="B4" s="144">
        <v>16</v>
      </c>
      <c r="C4" s="145">
        <v>5</v>
      </c>
      <c r="D4" s="146" t="s">
        <v>61</v>
      </c>
      <c r="E4" s="147">
        <v>100</v>
      </c>
      <c r="F4" s="148">
        <v>122</v>
      </c>
      <c r="G4" s="173" t="s">
        <v>80</v>
      </c>
      <c r="H4" s="149"/>
      <c r="I4" s="149"/>
      <c r="J4" s="149"/>
      <c r="K4" s="150" t="s">
        <v>36</v>
      </c>
      <c r="L4" s="148">
        <v>3500</v>
      </c>
      <c r="M4" s="151">
        <v>1</v>
      </c>
      <c r="N4" s="44">
        <v>3500</v>
      </c>
      <c r="O4" s="251">
        <f>(L4*M4)</f>
        <v>3500</v>
      </c>
      <c r="P4" s="106"/>
      <c r="Q4" s="124">
        <f t="shared" si="0"/>
        <v>3500</v>
      </c>
      <c r="R4" s="31"/>
      <c r="S4" s="37"/>
      <c r="T4" s="31"/>
      <c r="U4" s="37"/>
      <c r="V4" s="31"/>
      <c r="W4" s="37"/>
      <c r="X4" s="31"/>
      <c r="Y4" s="37"/>
      <c r="Z4" s="40">
        <f>S4+U4+W4+Y4</f>
        <v>0</v>
      </c>
      <c r="AA4" s="31">
        <v>3500</v>
      </c>
      <c r="AB4" s="37">
        <v>3500</v>
      </c>
      <c r="AC4" s="31"/>
      <c r="AD4" s="37"/>
      <c r="AE4" s="31"/>
      <c r="AF4" s="37"/>
      <c r="AG4" s="31"/>
      <c r="AH4" s="37"/>
      <c r="AI4" s="41">
        <v>3500</v>
      </c>
      <c r="AJ4" s="31"/>
      <c r="AK4" s="37"/>
      <c r="AL4" s="31"/>
      <c r="AM4" s="37"/>
      <c r="AN4" s="31"/>
      <c r="AO4" s="37"/>
      <c r="AP4" s="31"/>
      <c r="AQ4" s="37"/>
      <c r="AR4" s="43"/>
      <c r="AS4" s="44">
        <f t="shared" ref="AS4:AS23" si="2">Z4+AI4+AR4</f>
        <v>3500</v>
      </c>
      <c r="AT4" s="45">
        <f t="shared" si="1"/>
        <v>0</v>
      </c>
    </row>
    <row r="5" spans="1:46" ht="46.5" customHeight="1" x14ac:dyDescent="0.25">
      <c r="A5" s="144" t="s">
        <v>34</v>
      </c>
      <c r="B5" s="144">
        <v>16</v>
      </c>
      <c r="C5" s="145">
        <v>2</v>
      </c>
      <c r="D5" s="146" t="s">
        <v>62</v>
      </c>
      <c r="E5" s="147">
        <v>100</v>
      </c>
      <c r="F5" s="148">
        <v>122</v>
      </c>
      <c r="G5" s="173" t="s">
        <v>79</v>
      </c>
      <c r="H5" s="149"/>
      <c r="I5" s="149"/>
      <c r="J5" s="149"/>
      <c r="K5" s="150" t="s">
        <v>36</v>
      </c>
      <c r="L5" s="148">
        <v>3500</v>
      </c>
      <c r="M5" s="151">
        <v>1.5</v>
      </c>
      <c r="N5" s="44">
        <v>5250</v>
      </c>
      <c r="O5" s="250">
        <f>M5*L5</f>
        <v>5250</v>
      </c>
      <c r="P5" s="105"/>
      <c r="Q5" s="124">
        <f t="shared" si="0"/>
        <v>5250</v>
      </c>
      <c r="R5" s="31"/>
      <c r="S5" s="37"/>
      <c r="T5" s="31"/>
      <c r="U5" s="37"/>
      <c r="V5" s="31"/>
      <c r="W5" s="37"/>
      <c r="X5" s="31"/>
      <c r="Y5" s="37"/>
      <c r="Z5" s="40">
        <f>S5+U5+W5+Y5</f>
        <v>0</v>
      </c>
      <c r="AA5" s="31"/>
      <c r="AB5" s="37"/>
      <c r="AC5" s="31"/>
      <c r="AD5" s="37"/>
      <c r="AE5" s="31"/>
      <c r="AF5" s="37"/>
      <c r="AG5" s="31">
        <v>3500</v>
      </c>
      <c r="AH5" s="37">
        <v>5250</v>
      </c>
      <c r="AI5" s="41">
        <v>5250</v>
      </c>
      <c r="AJ5" s="31"/>
      <c r="AK5" s="37"/>
      <c r="AL5" s="31"/>
      <c r="AM5" s="37"/>
      <c r="AN5" s="31"/>
      <c r="AO5" s="37"/>
      <c r="AP5" s="31"/>
      <c r="AQ5" s="37"/>
      <c r="AR5" s="43"/>
      <c r="AS5" s="44">
        <f t="shared" si="2"/>
        <v>5250</v>
      </c>
      <c r="AT5" s="45">
        <f t="shared" si="1"/>
        <v>0</v>
      </c>
    </row>
    <row r="6" spans="1:46" ht="63.75" x14ac:dyDescent="0.25">
      <c r="A6" s="144" t="s">
        <v>34</v>
      </c>
      <c r="B6" s="144">
        <v>16</v>
      </c>
      <c r="C6" s="145">
        <v>5</v>
      </c>
      <c r="D6" s="146" t="s">
        <v>61</v>
      </c>
      <c r="E6" s="147">
        <v>100</v>
      </c>
      <c r="F6" s="148">
        <v>122</v>
      </c>
      <c r="G6" s="174" t="s">
        <v>78</v>
      </c>
      <c r="H6" s="155" t="s">
        <v>77</v>
      </c>
      <c r="I6" s="155"/>
      <c r="J6" s="155"/>
      <c r="K6" s="148" t="s">
        <v>30</v>
      </c>
      <c r="L6" s="147">
        <v>1500</v>
      </c>
      <c r="M6" s="151">
        <v>30</v>
      </c>
      <c r="N6" s="44">
        <v>45000</v>
      </c>
      <c r="O6" s="251">
        <f>(L6*M6)</f>
        <v>45000</v>
      </c>
      <c r="P6" s="106"/>
      <c r="Q6" s="124">
        <f t="shared" si="0"/>
        <v>45000</v>
      </c>
      <c r="R6" s="31"/>
      <c r="S6" s="37"/>
      <c r="T6" s="31"/>
      <c r="U6" s="37"/>
      <c r="V6" s="31"/>
      <c r="W6" s="37"/>
      <c r="X6" s="31"/>
      <c r="Y6" s="37"/>
      <c r="Z6" s="40"/>
      <c r="AA6" s="31"/>
      <c r="AB6" s="37"/>
      <c r="AC6" s="31"/>
      <c r="AD6" s="37"/>
      <c r="AE6" s="31"/>
      <c r="AF6" s="37"/>
      <c r="AG6" s="31">
        <v>1500</v>
      </c>
      <c r="AH6" s="37">
        <v>45000</v>
      </c>
      <c r="AI6" s="41">
        <f>AB6+AD6+AF6+AH6</f>
        <v>45000</v>
      </c>
      <c r="AJ6" s="31"/>
      <c r="AK6" s="37"/>
      <c r="AL6" s="31"/>
      <c r="AM6" s="37"/>
      <c r="AN6" s="31"/>
      <c r="AO6" s="37"/>
      <c r="AP6" s="31"/>
      <c r="AQ6" s="37"/>
      <c r="AR6" s="43"/>
      <c r="AS6" s="44">
        <f t="shared" si="2"/>
        <v>45000</v>
      </c>
      <c r="AT6" s="45">
        <f t="shared" si="1"/>
        <v>0</v>
      </c>
    </row>
    <row r="7" spans="1:46" ht="51" x14ac:dyDescent="0.25">
      <c r="A7" s="144" t="s">
        <v>34</v>
      </c>
      <c r="B7" s="144">
        <v>16</v>
      </c>
      <c r="C7" s="145">
        <v>5</v>
      </c>
      <c r="D7" s="146" t="s">
        <v>61</v>
      </c>
      <c r="E7" s="147">
        <v>100</v>
      </c>
      <c r="F7" s="148">
        <v>122</v>
      </c>
      <c r="G7" s="174" t="s">
        <v>81</v>
      </c>
      <c r="H7" s="155"/>
      <c r="I7" s="155"/>
      <c r="J7" s="155"/>
      <c r="K7" s="148" t="s">
        <v>30</v>
      </c>
      <c r="L7" s="147">
        <v>500</v>
      </c>
      <c r="M7" s="151">
        <v>20</v>
      </c>
      <c r="N7" s="44">
        <v>10000</v>
      </c>
      <c r="O7" s="251">
        <f>(L7*M7)</f>
        <v>10000</v>
      </c>
      <c r="P7" s="106"/>
      <c r="Q7" s="124">
        <f t="shared" si="0"/>
        <v>10000</v>
      </c>
      <c r="R7" s="31"/>
      <c r="S7" s="37"/>
      <c r="T7" s="31"/>
      <c r="U7" s="37"/>
      <c r="V7" s="31"/>
      <c r="W7" s="37"/>
      <c r="X7" s="31"/>
      <c r="Y7" s="37"/>
      <c r="Z7" s="40"/>
      <c r="AA7" s="31"/>
      <c r="AB7" s="37"/>
      <c r="AC7" s="31"/>
      <c r="AD7" s="37"/>
      <c r="AE7" s="31"/>
      <c r="AF7" s="37"/>
      <c r="AG7" s="31">
        <v>500</v>
      </c>
      <c r="AH7" s="37">
        <v>10000</v>
      </c>
      <c r="AI7" s="41">
        <f>AB7+AD7+AF7+AH7</f>
        <v>10000</v>
      </c>
      <c r="AJ7" s="31"/>
      <c r="AK7" s="37"/>
      <c r="AL7" s="31"/>
      <c r="AM7" s="37"/>
      <c r="AN7" s="31"/>
      <c r="AO7" s="37"/>
      <c r="AP7" s="31"/>
      <c r="AQ7" s="37"/>
      <c r="AR7" s="43"/>
      <c r="AS7" s="44">
        <f t="shared" si="2"/>
        <v>10000</v>
      </c>
      <c r="AT7" s="45">
        <f t="shared" si="1"/>
        <v>0</v>
      </c>
    </row>
    <row r="8" spans="1:46" ht="76.5" x14ac:dyDescent="0.25">
      <c r="A8" s="145" t="s">
        <v>34</v>
      </c>
      <c r="B8" s="145">
        <v>16</v>
      </c>
      <c r="C8" s="145">
        <v>5</v>
      </c>
      <c r="D8" s="145" t="s">
        <v>61</v>
      </c>
      <c r="E8" s="145">
        <v>100</v>
      </c>
      <c r="F8" s="145">
        <v>122</v>
      </c>
      <c r="G8" s="175" t="s">
        <v>82</v>
      </c>
      <c r="H8" s="145"/>
      <c r="I8" s="145"/>
      <c r="J8" s="145"/>
      <c r="K8" s="145" t="s">
        <v>30</v>
      </c>
      <c r="L8" s="145">
        <v>300</v>
      </c>
      <c r="M8" s="145">
        <v>30</v>
      </c>
      <c r="N8" s="244">
        <v>9000</v>
      </c>
      <c r="O8" s="251">
        <f>(L8*M8)</f>
        <v>9000</v>
      </c>
      <c r="P8" s="106"/>
      <c r="Q8" s="124">
        <f t="shared" si="0"/>
        <v>9000</v>
      </c>
      <c r="R8" s="31"/>
      <c r="S8" s="37"/>
      <c r="T8" s="31"/>
      <c r="U8" s="37"/>
      <c r="V8" s="31"/>
      <c r="W8" s="37"/>
      <c r="X8" s="31"/>
      <c r="Y8" s="37"/>
      <c r="Z8" s="40"/>
      <c r="AA8" s="31"/>
      <c r="AB8" s="37"/>
      <c r="AC8" s="31"/>
      <c r="AD8" s="37"/>
      <c r="AE8" s="31"/>
      <c r="AF8" s="37"/>
      <c r="AG8" s="31">
        <v>300</v>
      </c>
      <c r="AH8" s="37">
        <v>9000</v>
      </c>
      <c r="AI8" s="41">
        <f>AB8+AD8+AF8+AH8</f>
        <v>9000</v>
      </c>
      <c r="AJ8" s="31"/>
      <c r="AK8" s="37"/>
      <c r="AL8" s="31"/>
      <c r="AM8" s="37"/>
      <c r="AN8" s="31"/>
      <c r="AO8" s="37"/>
      <c r="AP8" s="31"/>
      <c r="AQ8" s="37"/>
      <c r="AR8" s="43"/>
      <c r="AS8" s="44">
        <f t="shared" si="2"/>
        <v>9000</v>
      </c>
      <c r="AT8" s="45">
        <f t="shared" si="1"/>
        <v>0</v>
      </c>
    </row>
    <row r="9" spans="1:46" ht="51" x14ac:dyDescent="0.25">
      <c r="A9" s="144" t="s">
        <v>34</v>
      </c>
      <c r="B9" s="144">
        <v>16</v>
      </c>
      <c r="C9" s="145">
        <v>2</v>
      </c>
      <c r="D9" s="146" t="s">
        <v>60</v>
      </c>
      <c r="E9" s="147">
        <v>100</v>
      </c>
      <c r="F9" s="147">
        <v>122</v>
      </c>
      <c r="G9" s="174" t="s">
        <v>83</v>
      </c>
      <c r="H9" s="155"/>
      <c r="I9" s="155"/>
      <c r="J9" s="155"/>
      <c r="K9" s="148" t="s">
        <v>37</v>
      </c>
      <c r="L9" s="147">
        <v>2500</v>
      </c>
      <c r="M9" s="156">
        <v>2</v>
      </c>
      <c r="N9" s="243">
        <v>5000</v>
      </c>
      <c r="O9" s="250">
        <f>M9*L9</f>
        <v>5000</v>
      </c>
      <c r="P9" s="105"/>
      <c r="Q9" s="124">
        <f t="shared" si="0"/>
        <v>5000</v>
      </c>
      <c r="R9" s="31"/>
      <c r="S9" s="37"/>
      <c r="T9" s="31"/>
      <c r="U9" s="37"/>
      <c r="V9" s="31"/>
      <c r="W9" s="37"/>
      <c r="X9" s="31"/>
      <c r="Y9" s="37"/>
      <c r="Z9" s="40"/>
      <c r="AA9" s="31"/>
      <c r="AB9" s="37"/>
      <c r="AC9" s="31"/>
      <c r="AD9" s="37"/>
      <c r="AE9" s="31"/>
      <c r="AF9" s="37"/>
      <c r="AG9" s="31">
        <v>2500</v>
      </c>
      <c r="AH9" s="37">
        <v>5000</v>
      </c>
      <c r="AI9" s="41">
        <v>5000</v>
      </c>
      <c r="AJ9" s="31"/>
      <c r="AK9" s="37"/>
      <c r="AL9" s="31"/>
      <c r="AM9" s="37"/>
      <c r="AN9" s="31"/>
      <c r="AO9" s="37"/>
      <c r="AP9" s="31"/>
      <c r="AQ9" s="37"/>
      <c r="AR9" s="43"/>
      <c r="AS9" s="44">
        <f t="shared" si="2"/>
        <v>5000</v>
      </c>
      <c r="AT9" s="45">
        <f t="shared" si="1"/>
        <v>0</v>
      </c>
    </row>
    <row r="10" spans="1:46" ht="25.5" x14ac:dyDescent="0.25">
      <c r="A10" s="144" t="s">
        <v>34</v>
      </c>
      <c r="B10" s="144">
        <v>16</v>
      </c>
      <c r="C10" s="152">
        <v>2</v>
      </c>
      <c r="D10" s="153" t="s">
        <v>60</v>
      </c>
      <c r="E10" s="147">
        <v>100</v>
      </c>
      <c r="F10" s="147">
        <v>122</v>
      </c>
      <c r="G10" s="174" t="s">
        <v>38</v>
      </c>
      <c r="H10" s="155"/>
      <c r="I10" s="155"/>
      <c r="J10" s="155"/>
      <c r="K10" s="148" t="s">
        <v>37</v>
      </c>
      <c r="L10" s="147">
        <v>3000</v>
      </c>
      <c r="M10" s="156">
        <v>5</v>
      </c>
      <c r="N10" s="243">
        <v>15000</v>
      </c>
      <c r="O10" s="250">
        <f>M10*L10</f>
        <v>15000</v>
      </c>
      <c r="P10" s="105"/>
      <c r="Q10" s="124">
        <f t="shared" si="0"/>
        <v>15000</v>
      </c>
      <c r="R10" s="31"/>
      <c r="S10" s="37"/>
      <c r="T10" s="31"/>
      <c r="U10" s="37"/>
      <c r="V10" s="31"/>
      <c r="W10" s="37"/>
      <c r="X10" s="31"/>
      <c r="Y10" s="37"/>
      <c r="Z10" s="40"/>
      <c r="AA10" s="31">
        <v>3000</v>
      </c>
      <c r="AB10" s="37">
        <v>15000</v>
      </c>
      <c r="AC10" s="31"/>
      <c r="AD10" s="37"/>
      <c r="AE10" s="31"/>
      <c r="AF10" s="37"/>
      <c r="AG10" s="31"/>
      <c r="AH10" s="37"/>
      <c r="AI10" s="41">
        <f>AB10+AD10+AF10+AH10</f>
        <v>15000</v>
      </c>
      <c r="AJ10" s="31"/>
      <c r="AK10" s="37"/>
      <c r="AL10" s="31"/>
      <c r="AM10" s="37"/>
      <c r="AN10" s="31"/>
      <c r="AO10" s="37"/>
      <c r="AP10" s="31"/>
      <c r="AQ10" s="37"/>
      <c r="AR10" s="43"/>
      <c r="AS10" s="44">
        <f t="shared" si="2"/>
        <v>15000</v>
      </c>
      <c r="AT10" s="45">
        <f t="shared" si="1"/>
        <v>0</v>
      </c>
    </row>
    <row r="11" spans="1:46" ht="25.5" x14ac:dyDescent="0.25">
      <c r="A11" s="144" t="s">
        <v>34</v>
      </c>
      <c r="B11" s="144">
        <v>16</v>
      </c>
      <c r="C11" s="152">
        <v>2</v>
      </c>
      <c r="D11" s="153" t="s">
        <v>61</v>
      </c>
      <c r="E11" s="147">
        <v>100</v>
      </c>
      <c r="F11" s="147">
        <v>122</v>
      </c>
      <c r="G11" s="174" t="s">
        <v>39</v>
      </c>
      <c r="H11" s="155"/>
      <c r="I11" s="155"/>
      <c r="J11" s="155"/>
      <c r="K11" s="148" t="s">
        <v>37</v>
      </c>
      <c r="L11" s="147">
        <v>1500</v>
      </c>
      <c r="M11" s="156">
        <v>10</v>
      </c>
      <c r="N11" s="243">
        <v>15000</v>
      </c>
      <c r="O11" s="250">
        <f>M11*L11</f>
        <v>15000</v>
      </c>
      <c r="P11" s="105"/>
      <c r="Q11" s="124">
        <f t="shared" si="0"/>
        <v>15000</v>
      </c>
      <c r="R11" s="31"/>
      <c r="S11" s="37"/>
      <c r="T11" s="31"/>
      <c r="U11" s="37"/>
      <c r="V11" s="31"/>
      <c r="W11" s="37"/>
      <c r="X11" s="31"/>
      <c r="Y11" s="37"/>
      <c r="Z11" s="40"/>
      <c r="AA11" s="31"/>
      <c r="AB11" s="37"/>
      <c r="AC11" s="31"/>
      <c r="AD11" s="37"/>
      <c r="AE11" s="31"/>
      <c r="AF11" s="37"/>
      <c r="AG11" s="31">
        <v>1500</v>
      </c>
      <c r="AH11" s="37">
        <v>15000</v>
      </c>
      <c r="AI11" s="41">
        <f>AB11+AD11+AF11+AH11</f>
        <v>15000</v>
      </c>
      <c r="AJ11" s="31"/>
      <c r="AK11" s="37"/>
      <c r="AL11" s="31"/>
      <c r="AM11" s="37"/>
      <c r="AN11" s="31"/>
      <c r="AO11" s="37"/>
      <c r="AP11" s="31"/>
      <c r="AQ11" s="37"/>
      <c r="AR11" s="43"/>
      <c r="AS11" s="44">
        <f t="shared" si="2"/>
        <v>15000</v>
      </c>
      <c r="AT11" s="45">
        <f t="shared" si="1"/>
        <v>0</v>
      </c>
    </row>
    <row r="12" spans="1:46" ht="25.5" x14ac:dyDescent="0.25">
      <c r="A12" s="85" t="s">
        <v>34</v>
      </c>
      <c r="B12" s="85">
        <v>16</v>
      </c>
      <c r="C12" s="90">
        <v>5</v>
      </c>
      <c r="D12" s="91" t="s">
        <v>60</v>
      </c>
      <c r="E12" s="84">
        <v>100</v>
      </c>
      <c r="F12" s="84">
        <v>122</v>
      </c>
      <c r="G12" s="176" t="s">
        <v>40</v>
      </c>
      <c r="H12" s="92"/>
      <c r="I12" s="92"/>
      <c r="J12" s="92"/>
      <c r="K12" s="93" t="s">
        <v>37</v>
      </c>
      <c r="L12" s="84">
        <v>5000</v>
      </c>
      <c r="M12" s="98">
        <v>2</v>
      </c>
      <c r="N12" s="243">
        <v>10000</v>
      </c>
      <c r="O12" s="251">
        <f>(L12*M12)</f>
        <v>10000</v>
      </c>
      <c r="P12" s="106">
        <v>9700</v>
      </c>
      <c r="Q12" s="124">
        <f t="shared" si="0"/>
        <v>300</v>
      </c>
      <c r="R12" s="31"/>
      <c r="S12" s="37"/>
      <c r="T12" s="31">
        <v>5000</v>
      </c>
      <c r="U12" s="37">
        <v>10000</v>
      </c>
      <c r="V12" s="31"/>
      <c r="W12" s="37"/>
      <c r="X12" s="31"/>
      <c r="Y12" s="37"/>
      <c r="Z12" s="40">
        <f>S12+U12+W12+Y12</f>
        <v>10000</v>
      </c>
      <c r="AA12" s="31"/>
      <c r="AB12" s="37"/>
      <c r="AC12" s="31"/>
      <c r="AD12" s="37"/>
      <c r="AE12" s="31"/>
      <c r="AF12" s="37"/>
      <c r="AG12" s="31"/>
      <c r="AH12" s="37"/>
      <c r="AI12" s="41"/>
      <c r="AJ12" s="31"/>
      <c r="AK12" s="37"/>
      <c r="AL12" s="31"/>
      <c r="AM12" s="37"/>
      <c r="AN12" s="31"/>
      <c r="AO12" s="37"/>
      <c r="AP12" s="31"/>
      <c r="AQ12" s="37"/>
      <c r="AR12" s="43"/>
      <c r="AS12" s="44">
        <f t="shared" si="2"/>
        <v>10000</v>
      </c>
      <c r="AT12" s="45">
        <f t="shared" si="1"/>
        <v>0</v>
      </c>
    </row>
    <row r="13" spans="1:46" ht="54" customHeight="1" x14ac:dyDescent="0.25">
      <c r="A13" s="144" t="s">
        <v>34</v>
      </c>
      <c r="B13" s="144">
        <v>16</v>
      </c>
      <c r="C13" s="152">
        <v>5</v>
      </c>
      <c r="D13" s="153" t="s">
        <v>60</v>
      </c>
      <c r="E13" s="147">
        <v>100</v>
      </c>
      <c r="F13" s="154">
        <v>122</v>
      </c>
      <c r="G13" s="174" t="s">
        <v>41</v>
      </c>
      <c r="H13" s="155"/>
      <c r="I13" s="155"/>
      <c r="J13" s="155"/>
      <c r="K13" s="148" t="s">
        <v>37</v>
      </c>
      <c r="L13" s="147">
        <v>100</v>
      </c>
      <c r="M13" s="156">
        <v>40</v>
      </c>
      <c r="N13" s="243">
        <v>4000</v>
      </c>
      <c r="O13" s="251">
        <f>(L13*M13)</f>
        <v>4000</v>
      </c>
      <c r="P13" s="106"/>
      <c r="Q13" s="124">
        <f t="shared" si="0"/>
        <v>4000</v>
      </c>
      <c r="R13" s="31"/>
      <c r="S13" s="37"/>
      <c r="T13" s="31"/>
      <c r="U13" s="37"/>
      <c r="V13" s="31"/>
      <c r="W13" s="37"/>
      <c r="X13" s="31"/>
      <c r="Y13" s="37"/>
      <c r="Z13" s="40"/>
      <c r="AA13" s="31"/>
      <c r="AB13" s="37"/>
      <c r="AC13" s="31"/>
      <c r="AD13" s="37"/>
      <c r="AE13" s="31">
        <v>100</v>
      </c>
      <c r="AF13" s="37">
        <v>4000</v>
      </c>
      <c r="AG13" s="31"/>
      <c r="AH13" s="37"/>
      <c r="AI13" s="41">
        <f>AB13+AD13+AF13+AH13</f>
        <v>4000</v>
      </c>
      <c r="AJ13" s="31"/>
      <c r="AK13" s="37"/>
      <c r="AL13" s="31"/>
      <c r="AM13" s="37"/>
      <c r="AN13" s="31"/>
      <c r="AO13" s="37"/>
      <c r="AP13" s="31"/>
      <c r="AQ13" s="37"/>
      <c r="AR13" s="43"/>
      <c r="AS13" s="44">
        <f t="shared" si="2"/>
        <v>4000</v>
      </c>
      <c r="AT13" s="45">
        <f t="shared" si="1"/>
        <v>0</v>
      </c>
    </row>
    <row r="14" spans="1:46" ht="25.5" x14ac:dyDescent="0.25">
      <c r="A14" s="85" t="s">
        <v>34</v>
      </c>
      <c r="B14" s="85">
        <v>16</v>
      </c>
      <c r="C14" s="90">
        <v>2</v>
      </c>
      <c r="D14" s="91" t="s">
        <v>61</v>
      </c>
      <c r="E14" s="84">
        <v>100</v>
      </c>
      <c r="F14" s="84">
        <v>122</v>
      </c>
      <c r="G14" s="176" t="s">
        <v>42</v>
      </c>
      <c r="H14" s="92"/>
      <c r="I14" s="92"/>
      <c r="J14" s="92"/>
      <c r="K14" s="93" t="s">
        <v>37</v>
      </c>
      <c r="L14" s="84">
        <v>6000</v>
      </c>
      <c r="M14" s="98">
        <v>0.5</v>
      </c>
      <c r="N14" s="243">
        <v>3000</v>
      </c>
      <c r="O14" s="250">
        <f>M14*L14</f>
        <v>3000</v>
      </c>
      <c r="P14" s="105">
        <v>3000</v>
      </c>
      <c r="Q14" s="124">
        <f t="shared" si="0"/>
        <v>0</v>
      </c>
      <c r="R14" s="31"/>
      <c r="S14" s="37"/>
      <c r="T14" s="31"/>
      <c r="U14" s="37"/>
      <c r="V14" s="80">
        <v>6000</v>
      </c>
      <c r="W14" s="81">
        <v>3000</v>
      </c>
      <c r="X14" s="31"/>
      <c r="Y14" s="37"/>
      <c r="Z14" s="40">
        <f>S14+U14+W14+Y14</f>
        <v>3000</v>
      </c>
      <c r="AA14" s="31"/>
      <c r="AB14" s="37"/>
      <c r="AC14" s="31"/>
      <c r="AD14" s="37"/>
      <c r="AE14" s="31"/>
      <c r="AF14" s="37"/>
      <c r="AG14" s="31"/>
      <c r="AH14" s="37"/>
      <c r="AI14" s="41"/>
      <c r="AJ14" s="31"/>
      <c r="AK14" s="37"/>
      <c r="AL14" s="31"/>
      <c r="AM14" s="37"/>
      <c r="AN14" s="31"/>
      <c r="AO14" s="37"/>
      <c r="AP14" s="31"/>
      <c r="AQ14" s="37"/>
      <c r="AR14" s="43"/>
      <c r="AS14" s="44">
        <f t="shared" si="2"/>
        <v>3000</v>
      </c>
      <c r="AT14" s="45">
        <f t="shared" si="1"/>
        <v>0</v>
      </c>
    </row>
    <row r="15" spans="1:46" ht="38.25" x14ac:dyDescent="0.25">
      <c r="A15" s="85" t="s">
        <v>34</v>
      </c>
      <c r="B15" s="85">
        <v>16</v>
      </c>
      <c r="C15" s="90">
        <v>2</v>
      </c>
      <c r="D15" s="91" t="s">
        <v>61</v>
      </c>
      <c r="E15" s="84">
        <v>100</v>
      </c>
      <c r="F15" s="84">
        <v>122</v>
      </c>
      <c r="G15" s="176" t="s">
        <v>84</v>
      </c>
      <c r="H15" s="92"/>
      <c r="I15" s="92"/>
      <c r="J15" s="92"/>
      <c r="K15" s="93" t="s">
        <v>37</v>
      </c>
      <c r="L15" s="84">
        <v>3000</v>
      </c>
      <c r="M15" s="98">
        <v>4.7</v>
      </c>
      <c r="N15" s="243">
        <v>14400</v>
      </c>
      <c r="O15" s="250">
        <f>M15*L15</f>
        <v>14100</v>
      </c>
      <c r="P15" s="142">
        <v>14400</v>
      </c>
      <c r="Q15" s="200">
        <f t="shared" si="0"/>
        <v>-300</v>
      </c>
      <c r="R15" s="31"/>
      <c r="S15" s="37"/>
      <c r="T15" s="77"/>
      <c r="U15" s="78"/>
      <c r="V15" s="82">
        <v>3000</v>
      </c>
      <c r="W15" s="83">
        <v>14100</v>
      </c>
      <c r="X15" s="31"/>
      <c r="Y15" s="37"/>
      <c r="Z15" s="40">
        <f>S15+U15+W15+Y15</f>
        <v>14100</v>
      </c>
      <c r="AA15" s="31"/>
      <c r="AB15" s="37"/>
      <c r="AC15" s="31"/>
      <c r="AD15" s="37"/>
      <c r="AE15" s="31"/>
      <c r="AF15" s="37"/>
      <c r="AG15" s="31"/>
      <c r="AH15" s="37"/>
      <c r="AI15" s="41"/>
      <c r="AJ15" s="31"/>
      <c r="AK15" s="37"/>
      <c r="AL15" s="31"/>
      <c r="AM15" s="37"/>
      <c r="AN15" s="31"/>
      <c r="AO15" s="37"/>
      <c r="AP15" s="31"/>
      <c r="AQ15" s="37"/>
      <c r="AR15" s="43"/>
      <c r="AS15" s="44">
        <f t="shared" si="2"/>
        <v>14100</v>
      </c>
      <c r="AT15" s="45">
        <f t="shared" si="1"/>
        <v>0</v>
      </c>
    </row>
    <row r="16" spans="1:46" ht="38.25" x14ac:dyDescent="0.25">
      <c r="A16" s="144" t="s">
        <v>34</v>
      </c>
      <c r="B16" s="144">
        <v>16</v>
      </c>
      <c r="C16" s="152">
        <v>2</v>
      </c>
      <c r="D16" s="153" t="s">
        <v>61</v>
      </c>
      <c r="E16" s="147">
        <v>100</v>
      </c>
      <c r="F16" s="147">
        <v>122</v>
      </c>
      <c r="G16" s="175" t="s">
        <v>43</v>
      </c>
      <c r="H16" s="157"/>
      <c r="I16" s="157"/>
      <c r="J16" s="157"/>
      <c r="K16" s="148" t="s">
        <v>36</v>
      </c>
      <c r="L16" s="147">
        <v>2500</v>
      </c>
      <c r="M16" s="156">
        <v>15</v>
      </c>
      <c r="N16" s="243">
        <v>37500</v>
      </c>
      <c r="O16" s="250">
        <f>M16*L16</f>
        <v>37500</v>
      </c>
      <c r="P16" s="105"/>
      <c r="Q16" s="124">
        <f t="shared" si="0"/>
        <v>37500</v>
      </c>
      <c r="R16" s="31"/>
      <c r="S16" s="37"/>
      <c r="T16" s="31"/>
      <c r="U16" s="37"/>
      <c r="V16" s="31"/>
      <c r="W16" s="37"/>
      <c r="X16" s="31"/>
      <c r="Y16" s="37"/>
      <c r="Z16" s="40"/>
      <c r="AA16" s="31"/>
      <c r="AB16" s="37"/>
      <c r="AC16" s="31"/>
      <c r="AD16" s="37"/>
      <c r="AE16" s="31"/>
      <c r="AF16" s="37"/>
      <c r="AG16" s="31">
        <v>2500</v>
      </c>
      <c r="AH16" s="37">
        <v>37500</v>
      </c>
      <c r="AI16" s="41">
        <f>AB16+AD16+AF16+AH16</f>
        <v>37500</v>
      </c>
      <c r="AJ16" s="31"/>
      <c r="AK16" s="37"/>
      <c r="AL16" s="31"/>
      <c r="AM16" s="37"/>
      <c r="AN16" s="31"/>
      <c r="AO16" s="37"/>
      <c r="AP16" s="31"/>
      <c r="AQ16" s="37"/>
      <c r="AR16" s="43"/>
      <c r="AS16" s="44">
        <f t="shared" si="2"/>
        <v>37500</v>
      </c>
      <c r="AT16" s="45">
        <f t="shared" si="1"/>
        <v>0</v>
      </c>
    </row>
    <row r="17" spans="1:46" ht="25.5" x14ac:dyDescent="0.25">
      <c r="A17" s="144" t="s">
        <v>34</v>
      </c>
      <c r="B17" s="144">
        <v>16</v>
      </c>
      <c r="C17" s="152">
        <v>2</v>
      </c>
      <c r="D17" s="153" t="s">
        <v>60</v>
      </c>
      <c r="E17" s="147">
        <v>100</v>
      </c>
      <c r="F17" s="147">
        <v>122</v>
      </c>
      <c r="G17" s="174" t="s">
        <v>85</v>
      </c>
      <c r="H17" s="155"/>
      <c r="I17" s="155"/>
      <c r="J17" s="155"/>
      <c r="K17" s="148" t="s">
        <v>36</v>
      </c>
      <c r="L17" s="147">
        <v>2000</v>
      </c>
      <c r="M17" s="156">
        <v>15</v>
      </c>
      <c r="N17" s="243">
        <v>30000</v>
      </c>
      <c r="O17" s="250">
        <f>M17*L17</f>
        <v>30000</v>
      </c>
      <c r="P17" s="105"/>
      <c r="Q17" s="124">
        <f t="shared" si="0"/>
        <v>30000</v>
      </c>
      <c r="R17" s="31"/>
      <c r="S17" s="37"/>
      <c r="T17" s="31"/>
      <c r="U17" s="37"/>
      <c r="V17" s="31"/>
      <c r="W17" s="37"/>
      <c r="X17" s="31"/>
      <c r="Y17" s="37"/>
      <c r="Z17" s="40"/>
      <c r="AA17" s="169"/>
      <c r="AB17" s="129"/>
      <c r="AC17" s="169"/>
      <c r="AD17" s="129"/>
      <c r="AE17" s="169">
        <v>2000</v>
      </c>
      <c r="AF17" s="129">
        <v>30000</v>
      </c>
      <c r="AG17" s="31"/>
      <c r="AH17" s="37"/>
      <c r="AI17" s="41">
        <v>30000</v>
      </c>
      <c r="AJ17" s="31"/>
      <c r="AK17" s="37"/>
      <c r="AL17" s="31"/>
      <c r="AM17" s="37"/>
      <c r="AN17" s="31"/>
      <c r="AO17" s="37"/>
      <c r="AP17" s="31"/>
      <c r="AQ17" s="37"/>
      <c r="AR17" s="43"/>
      <c r="AS17" s="44">
        <f t="shared" si="2"/>
        <v>30000</v>
      </c>
      <c r="AT17" s="45">
        <f t="shared" si="1"/>
        <v>0</v>
      </c>
    </row>
    <row r="18" spans="1:46" ht="25.5" x14ac:dyDescent="0.25">
      <c r="A18" s="144" t="s">
        <v>34</v>
      </c>
      <c r="B18" s="144">
        <v>16</v>
      </c>
      <c r="C18" s="152">
        <v>2</v>
      </c>
      <c r="D18" s="153" t="s">
        <v>62</v>
      </c>
      <c r="E18" s="147">
        <v>100</v>
      </c>
      <c r="F18" s="147">
        <v>122</v>
      </c>
      <c r="G18" s="174" t="s">
        <v>86</v>
      </c>
      <c r="H18" s="155"/>
      <c r="I18" s="155"/>
      <c r="J18" s="155"/>
      <c r="K18" s="148" t="s">
        <v>36</v>
      </c>
      <c r="L18" s="147">
        <v>350</v>
      </c>
      <c r="M18" s="156">
        <v>15</v>
      </c>
      <c r="N18" s="243">
        <v>5250</v>
      </c>
      <c r="O18" s="251">
        <f>(L18*M18)</f>
        <v>5250</v>
      </c>
      <c r="P18" s="106"/>
      <c r="Q18" s="124">
        <f t="shared" si="0"/>
        <v>5250</v>
      </c>
      <c r="R18" s="31"/>
      <c r="S18" s="37"/>
      <c r="T18" s="31"/>
      <c r="U18" s="37"/>
      <c r="V18" s="31"/>
      <c r="W18" s="37"/>
      <c r="X18" s="31"/>
      <c r="Y18" s="37"/>
      <c r="Z18" s="40"/>
      <c r="AA18" s="169"/>
      <c r="AB18" s="129"/>
      <c r="AC18" s="31"/>
      <c r="AD18" s="37"/>
      <c r="AE18" s="31"/>
      <c r="AF18" s="37"/>
      <c r="AG18" s="169">
        <v>350</v>
      </c>
      <c r="AH18" s="129">
        <v>5250</v>
      </c>
      <c r="AI18" s="41">
        <v>5250</v>
      </c>
      <c r="AJ18" s="31"/>
      <c r="AK18" s="37"/>
      <c r="AL18" s="31"/>
      <c r="AM18" s="37"/>
      <c r="AN18" s="31"/>
      <c r="AO18" s="37"/>
      <c r="AP18" s="31"/>
      <c r="AQ18" s="37"/>
      <c r="AR18" s="43"/>
      <c r="AS18" s="44">
        <f t="shared" si="2"/>
        <v>5250</v>
      </c>
      <c r="AT18" s="45">
        <f t="shared" si="1"/>
        <v>0</v>
      </c>
    </row>
    <row r="19" spans="1:46" ht="25.5" x14ac:dyDescent="0.25">
      <c r="A19" s="144" t="s">
        <v>34</v>
      </c>
      <c r="B19" s="144">
        <v>69</v>
      </c>
      <c r="C19" s="152">
        <v>5</v>
      </c>
      <c r="D19" s="153" t="s">
        <v>61</v>
      </c>
      <c r="E19" s="147">
        <v>200</v>
      </c>
      <c r="F19" s="147">
        <v>211</v>
      </c>
      <c r="G19" s="174" t="s">
        <v>56</v>
      </c>
      <c r="H19" s="155"/>
      <c r="I19" s="155"/>
      <c r="J19" s="155"/>
      <c r="K19" s="148" t="s">
        <v>46</v>
      </c>
      <c r="L19" s="147">
        <v>200</v>
      </c>
      <c r="M19" s="156">
        <v>100</v>
      </c>
      <c r="N19" s="243">
        <v>20000</v>
      </c>
      <c r="O19" s="251">
        <f>(L19*M19)</f>
        <v>20000</v>
      </c>
      <c r="P19" s="106">
        <v>12791</v>
      </c>
      <c r="Q19" s="124">
        <f>(O19-P19)</f>
        <v>7209</v>
      </c>
      <c r="R19" s="31"/>
      <c r="S19" s="37"/>
      <c r="T19" s="31"/>
      <c r="U19" s="37"/>
      <c r="V19" s="80">
        <v>66</v>
      </c>
      <c r="W19" s="81">
        <v>6600</v>
      </c>
      <c r="X19" s="31"/>
      <c r="Y19" s="37"/>
      <c r="Z19" s="40">
        <f>S19+U19+W19+Y19</f>
        <v>6600</v>
      </c>
      <c r="AA19" s="31">
        <v>33</v>
      </c>
      <c r="AB19" s="37">
        <v>3350</v>
      </c>
      <c r="AC19" s="31">
        <v>33</v>
      </c>
      <c r="AD19" s="37">
        <v>3350</v>
      </c>
      <c r="AE19" s="31"/>
      <c r="AF19" s="37"/>
      <c r="AG19" s="31"/>
      <c r="AH19" s="37"/>
      <c r="AI19" s="41">
        <f>AB19+AD19+AF19+AH19</f>
        <v>6700</v>
      </c>
      <c r="AJ19" s="31">
        <v>67</v>
      </c>
      <c r="AK19" s="37">
        <v>6700</v>
      </c>
      <c r="AL19" s="31"/>
      <c r="AM19" s="37"/>
      <c r="AN19" s="31"/>
      <c r="AO19" s="37"/>
      <c r="AP19" s="31"/>
      <c r="AQ19" s="37"/>
      <c r="AR19" s="43">
        <f>AK19+AM19+AO19+AQ19</f>
        <v>6700</v>
      </c>
      <c r="AS19" s="44">
        <f t="shared" si="2"/>
        <v>20000</v>
      </c>
      <c r="AT19" s="45">
        <f t="shared" si="1"/>
        <v>0</v>
      </c>
    </row>
    <row r="20" spans="1:46" ht="25.5" x14ac:dyDescent="0.25">
      <c r="A20" s="5" t="s">
        <v>34</v>
      </c>
      <c r="B20" s="8">
        <v>21</v>
      </c>
      <c r="C20" s="67">
        <v>5</v>
      </c>
      <c r="D20" s="73" t="s">
        <v>61</v>
      </c>
      <c r="E20" s="9">
        <v>100</v>
      </c>
      <c r="F20" s="6">
        <v>131</v>
      </c>
      <c r="G20" s="177" t="s">
        <v>67</v>
      </c>
      <c r="H20" s="59"/>
      <c r="I20" s="59"/>
      <c r="J20" s="59"/>
      <c r="K20" s="11" t="s">
        <v>31</v>
      </c>
      <c r="L20" s="10">
        <v>1</v>
      </c>
      <c r="M20" s="38">
        <v>5000</v>
      </c>
      <c r="N20" s="243">
        <v>5000</v>
      </c>
      <c r="O20" s="250">
        <f>M20*L20</f>
        <v>5000</v>
      </c>
      <c r="P20" s="105"/>
      <c r="Q20" s="124">
        <f t="shared" ref="Q20:Q35" si="3">(O20-P20)</f>
        <v>5000</v>
      </c>
      <c r="R20" s="26"/>
      <c r="S20" s="27"/>
      <c r="T20" s="26"/>
      <c r="U20" s="27"/>
      <c r="V20" s="26">
        <v>1</v>
      </c>
      <c r="W20" s="27">
        <v>5000</v>
      </c>
      <c r="X20" s="26"/>
      <c r="Y20" s="27"/>
      <c r="Z20" s="40">
        <f>S20+U20+W20+Y20</f>
        <v>5000</v>
      </c>
      <c r="AA20" s="26"/>
      <c r="AB20" s="27"/>
      <c r="AC20" s="26"/>
      <c r="AD20" s="27"/>
      <c r="AE20" s="26"/>
      <c r="AF20" s="27"/>
      <c r="AG20" s="26"/>
      <c r="AH20" s="27"/>
      <c r="AI20" s="41"/>
      <c r="AJ20" s="26"/>
      <c r="AK20" s="27"/>
      <c r="AL20" s="26"/>
      <c r="AM20" s="27"/>
      <c r="AN20" s="26"/>
      <c r="AO20" s="27"/>
      <c r="AP20" s="26"/>
      <c r="AQ20" s="27"/>
      <c r="AR20" s="43"/>
      <c r="AS20" s="44">
        <f t="shared" si="2"/>
        <v>5000</v>
      </c>
      <c r="AT20" s="45">
        <f t="shared" si="1"/>
        <v>0</v>
      </c>
    </row>
    <row r="21" spans="1:46" ht="51" x14ac:dyDescent="0.25">
      <c r="A21" s="5" t="s">
        <v>34</v>
      </c>
      <c r="B21" s="5">
        <v>22</v>
      </c>
      <c r="C21" s="66">
        <v>5</v>
      </c>
      <c r="D21" s="75" t="s">
        <v>60</v>
      </c>
      <c r="E21" s="6">
        <v>100</v>
      </c>
      <c r="F21" s="6">
        <v>133</v>
      </c>
      <c r="G21" s="177" t="s">
        <v>32</v>
      </c>
      <c r="H21" s="59" t="s">
        <v>44</v>
      </c>
      <c r="I21" s="59"/>
      <c r="J21" s="59"/>
      <c r="K21" s="11" t="s">
        <v>45</v>
      </c>
      <c r="L21" s="6">
        <v>70</v>
      </c>
      <c r="M21" s="38">
        <v>420</v>
      </c>
      <c r="N21" s="243">
        <v>29400</v>
      </c>
      <c r="O21" s="251">
        <f>(L21*M21)</f>
        <v>29400</v>
      </c>
      <c r="P21" s="106">
        <v>4692</v>
      </c>
      <c r="Q21" s="124">
        <f t="shared" si="3"/>
        <v>24708</v>
      </c>
      <c r="R21" s="31"/>
      <c r="S21" s="37"/>
      <c r="T21" s="31"/>
      <c r="U21" s="37"/>
      <c r="V21" s="31">
        <v>8</v>
      </c>
      <c r="W21" s="37">
        <v>3360</v>
      </c>
      <c r="X21" s="31">
        <v>8</v>
      </c>
      <c r="Y21" s="37">
        <v>3360</v>
      </c>
      <c r="Z21" s="40">
        <f>S21+U21+W21+Y21</f>
        <v>6720</v>
      </c>
      <c r="AA21" s="31">
        <v>8</v>
      </c>
      <c r="AB21" s="37">
        <v>3360</v>
      </c>
      <c r="AC21" s="31">
        <v>8</v>
      </c>
      <c r="AD21" s="37">
        <v>3360</v>
      </c>
      <c r="AE21" s="31">
        <v>8</v>
      </c>
      <c r="AF21" s="37">
        <v>3360</v>
      </c>
      <c r="AG21" s="31">
        <v>8</v>
      </c>
      <c r="AH21" s="37">
        <v>3360</v>
      </c>
      <c r="AI21" s="41">
        <v>13440</v>
      </c>
      <c r="AJ21" s="31">
        <v>12</v>
      </c>
      <c r="AK21" s="37">
        <v>5040</v>
      </c>
      <c r="AL21" s="31">
        <v>10</v>
      </c>
      <c r="AM21" s="37">
        <v>4200</v>
      </c>
      <c r="AN21" s="31"/>
      <c r="AO21" s="37"/>
      <c r="AP21" s="31"/>
      <c r="AQ21" s="37"/>
      <c r="AR21" s="43">
        <f>AK21+AM21+AO21+AQ21</f>
        <v>9240</v>
      </c>
      <c r="AS21" s="44">
        <f t="shared" si="2"/>
        <v>29400</v>
      </c>
      <c r="AT21" s="45">
        <f t="shared" si="1"/>
        <v>0</v>
      </c>
    </row>
    <row r="22" spans="1:46" ht="30.75" customHeight="1" x14ac:dyDescent="0.25">
      <c r="A22" s="5" t="s">
        <v>34</v>
      </c>
      <c r="B22" s="5"/>
      <c r="C22" s="67">
        <v>5</v>
      </c>
      <c r="D22" s="73" t="s">
        <v>61</v>
      </c>
      <c r="E22" s="9">
        <v>100</v>
      </c>
      <c r="F22" s="52">
        <v>141</v>
      </c>
      <c r="G22" s="172" t="s">
        <v>71</v>
      </c>
      <c r="H22" s="61"/>
      <c r="I22" s="61"/>
      <c r="J22" s="61"/>
      <c r="K22" s="52" t="s">
        <v>31</v>
      </c>
      <c r="L22" s="52">
        <v>1</v>
      </c>
      <c r="M22" s="64">
        <v>5000</v>
      </c>
      <c r="N22" s="245">
        <v>5000</v>
      </c>
      <c r="O22" s="252">
        <f>L22*M22</f>
        <v>5000</v>
      </c>
      <c r="P22" s="107"/>
      <c r="Q22" s="124">
        <f t="shared" si="3"/>
        <v>5000</v>
      </c>
      <c r="R22" s="53"/>
      <c r="S22" s="54"/>
      <c r="T22" s="54"/>
      <c r="U22" s="54"/>
      <c r="V22" s="26">
        <v>1</v>
      </c>
      <c r="W22" s="27">
        <v>5000</v>
      </c>
      <c r="X22" s="54"/>
      <c r="Y22" s="54"/>
      <c r="Z22" s="40">
        <f>S22+U22+W22+Y22</f>
        <v>5000</v>
      </c>
      <c r="AA22" s="54"/>
      <c r="AB22" s="54"/>
      <c r="AC22" s="54"/>
      <c r="AD22" s="54"/>
      <c r="AE22" s="54"/>
      <c r="AF22" s="54"/>
      <c r="AG22" s="54"/>
      <c r="AH22" s="54"/>
      <c r="AI22" s="56"/>
      <c r="AJ22" s="54"/>
      <c r="AK22" s="54"/>
      <c r="AL22" s="54"/>
      <c r="AM22" s="54"/>
      <c r="AN22" s="54"/>
      <c r="AO22" s="54"/>
      <c r="AP22" s="54"/>
      <c r="AQ22" s="54"/>
      <c r="AR22" s="43"/>
      <c r="AS22" s="76">
        <f t="shared" si="2"/>
        <v>5000</v>
      </c>
      <c r="AT22" s="45">
        <f t="shared" si="1"/>
        <v>0</v>
      </c>
    </row>
    <row r="23" spans="1:46" ht="58.5" customHeight="1" x14ac:dyDescent="0.25">
      <c r="A23" s="202" t="s">
        <v>34</v>
      </c>
      <c r="B23" s="202">
        <v>49</v>
      </c>
      <c r="C23" s="203">
        <v>2</v>
      </c>
      <c r="D23" s="204" t="s">
        <v>61</v>
      </c>
      <c r="E23" s="205">
        <v>100</v>
      </c>
      <c r="F23" s="206">
        <v>189</v>
      </c>
      <c r="G23" s="207" t="s">
        <v>68</v>
      </c>
      <c r="H23" s="208"/>
      <c r="I23" s="208"/>
      <c r="J23" s="208"/>
      <c r="K23" s="206" t="s">
        <v>53</v>
      </c>
      <c r="L23" s="205">
        <v>1500</v>
      </c>
      <c r="M23" s="209">
        <v>10</v>
      </c>
      <c r="N23" s="243"/>
      <c r="O23" s="250">
        <f>M23*L23</f>
        <v>15000</v>
      </c>
      <c r="P23" s="210"/>
      <c r="Q23" s="211">
        <f t="shared" si="3"/>
        <v>15000</v>
      </c>
      <c r="R23" s="31"/>
      <c r="S23" s="37"/>
      <c r="T23" s="31"/>
      <c r="U23" s="37"/>
      <c r="V23" s="6">
        <v>1500</v>
      </c>
      <c r="W23" s="37">
        <v>15000</v>
      </c>
      <c r="X23" s="31"/>
      <c r="Y23" s="37"/>
      <c r="Z23" s="40">
        <v>15000</v>
      </c>
      <c r="AA23" s="31"/>
      <c r="AB23" s="37"/>
      <c r="AC23" s="31"/>
      <c r="AD23" s="37"/>
      <c r="AE23" s="31"/>
      <c r="AF23" s="37"/>
      <c r="AG23" s="31"/>
      <c r="AH23" s="37"/>
      <c r="AI23" s="41"/>
      <c r="AJ23" s="31"/>
      <c r="AK23" s="37"/>
      <c r="AL23" s="31"/>
      <c r="AM23" s="37"/>
      <c r="AN23" s="31"/>
      <c r="AO23" s="37"/>
      <c r="AP23" s="31"/>
      <c r="AQ23" s="37"/>
      <c r="AR23" s="43"/>
      <c r="AS23" s="76">
        <f t="shared" si="2"/>
        <v>15000</v>
      </c>
      <c r="AT23" s="45">
        <f t="shared" si="1"/>
        <v>0</v>
      </c>
    </row>
    <row r="24" spans="1:46" ht="38.25" x14ac:dyDescent="0.25">
      <c r="A24" s="85" t="s">
        <v>34</v>
      </c>
      <c r="B24" s="85">
        <v>83</v>
      </c>
      <c r="C24" s="90">
        <v>2</v>
      </c>
      <c r="D24" s="91" t="s">
        <v>62</v>
      </c>
      <c r="E24" s="84">
        <v>200</v>
      </c>
      <c r="F24" s="84">
        <v>233</v>
      </c>
      <c r="G24" s="176" t="s">
        <v>63</v>
      </c>
      <c r="H24" s="92"/>
      <c r="I24" s="92"/>
      <c r="J24" s="92"/>
      <c r="K24" s="93" t="s">
        <v>37</v>
      </c>
      <c r="L24" s="84">
        <v>500</v>
      </c>
      <c r="M24" s="98">
        <v>25</v>
      </c>
      <c r="N24" s="243">
        <v>12500</v>
      </c>
      <c r="O24" s="250">
        <f>M24*L24</f>
        <v>12500</v>
      </c>
      <c r="P24" s="105">
        <v>12494.7</v>
      </c>
      <c r="Q24" s="124">
        <f t="shared" si="3"/>
        <v>5.2999999999992724</v>
      </c>
      <c r="R24" s="31"/>
      <c r="S24" s="37"/>
      <c r="T24" s="31"/>
      <c r="U24" s="37"/>
      <c r="V24" s="80">
        <v>500</v>
      </c>
      <c r="W24" s="81">
        <v>12500</v>
      </c>
      <c r="X24" s="31"/>
      <c r="Y24" s="37"/>
      <c r="Z24" s="40">
        <f>S24+U24+W24+Y24</f>
        <v>12500</v>
      </c>
      <c r="AA24" s="31"/>
      <c r="AB24" s="37"/>
      <c r="AC24" s="31"/>
      <c r="AD24" s="37"/>
      <c r="AE24" s="31"/>
      <c r="AF24" s="37"/>
      <c r="AG24" s="31"/>
      <c r="AH24" s="37"/>
      <c r="AI24" s="41"/>
      <c r="AJ24" s="31"/>
      <c r="AK24" s="37"/>
      <c r="AL24" s="31"/>
      <c r="AM24" s="37"/>
      <c r="AN24" s="31"/>
      <c r="AO24" s="37"/>
      <c r="AP24" s="31"/>
      <c r="AQ24" s="37"/>
      <c r="AR24" s="43"/>
      <c r="AS24" s="76">
        <f>Z24+AI24+AR24</f>
        <v>12500</v>
      </c>
      <c r="AT24" s="45">
        <f t="shared" si="1"/>
        <v>0</v>
      </c>
    </row>
    <row r="25" spans="1:46" ht="25.5" x14ac:dyDescent="0.25">
      <c r="A25" s="85" t="s">
        <v>34</v>
      </c>
      <c r="B25" s="85">
        <v>81</v>
      </c>
      <c r="C25" s="94">
        <v>5</v>
      </c>
      <c r="D25" s="95" t="s">
        <v>61</v>
      </c>
      <c r="E25" s="93">
        <v>200</v>
      </c>
      <c r="F25" s="96">
        <v>233</v>
      </c>
      <c r="G25" s="178" t="s">
        <v>57</v>
      </c>
      <c r="H25" s="97"/>
      <c r="I25" s="97"/>
      <c r="J25" s="97"/>
      <c r="K25" s="93" t="s">
        <v>31</v>
      </c>
      <c r="L25" s="99">
        <v>6</v>
      </c>
      <c r="M25" s="100">
        <v>250</v>
      </c>
      <c r="N25" s="246">
        <v>1500</v>
      </c>
      <c r="O25" s="251">
        <f>L25*M25</f>
        <v>1500</v>
      </c>
      <c r="P25" s="106">
        <v>714</v>
      </c>
      <c r="Q25" s="124">
        <f t="shared" si="3"/>
        <v>786</v>
      </c>
      <c r="R25" s="26"/>
      <c r="S25" s="49"/>
      <c r="T25" s="28"/>
      <c r="U25" s="49"/>
      <c r="V25" s="96">
        <f>L25</f>
        <v>6</v>
      </c>
      <c r="W25" s="100">
        <f>V25*M25</f>
        <v>1500</v>
      </c>
      <c r="X25" s="26"/>
      <c r="Y25" s="49"/>
      <c r="Z25" s="55">
        <f>Y25+W25+U25+S25</f>
        <v>1500</v>
      </c>
      <c r="AA25" s="26"/>
      <c r="AB25" s="46"/>
      <c r="AC25" s="26"/>
      <c r="AD25" s="49"/>
      <c r="AE25" s="26"/>
      <c r="AF25" s="49"/>
      <c r="AG25" s="26"/>
      <c r="AH25" s="49"/>
      <c r="AI25" s="50"/>
      <c r="AJ25" s="26"/>
      <c r="AK25" s="49"/>
      <c r="AL25" s="26"/>
      <c r="AM25" s="49"/>
      <c r="AN25" s="26"/>
      <c r="AO25" s="49"/>
      <c r="AP25" s="26"/>
      <c r="AQ25" s="49"/>
      <c r="AR25" s="51"/>
      <c r="AS25" s="70">
        <f>AR25+AI25+Z25</f>
        <v>1500</v>
      </c>
      <c r="AT25" s="45">
        <f t="shared" si="1"/>
        <v>0</v>
      </c>
    </row>
    <row r="26" spans="1:46" ht="25.5" x14ac:dyDescent="0.25">
      <c r="A26" s="85" t="s">
        <v>34</v>
      </c>
      <c r="B26" s="85">
        <v>80</v>
      </c>
      <c r="C26" s="86">
        <v>5</v>
      </c>
      <c r="D26" s="87" t="s">
        <v>61</v>
      </c>
      <c r="E26" s="88">
        <v>200</v>
      </c>
      <c r="F26" s="88">
        <v>233</v>
      </c>
      <c r="G26" s="179" t="s">
        <v>33</v>
      </c>
      <c r="H26" s="89"/>
      <c r="I26" s="89"/>
      <c r="J26" s="89"/>
      <c r="K26" s="88" t="s">
        <v>31</v>
      </c>
      <c r="L26" s="88">
        <v>18</v>
      </c>
      <c r="M26" s="101">
        <v>200</v>
      </c>
      <c r="N26" s="245">
        <v>3600</v>
      </c>
      <c r="O26" s="252">
        <f>L26*M26</f>
        <v>3600</v>
      </c>
      <c r="P26" s="107">
        <v>2160</v>
      </c>
      <c r="Q26" s="124">
        <f t="shared" si="3"/>
        <v>1440</v>
      </c>
      <c r="R26" s="53"/>
      <c r="S26" s="53"/>
      <c r="T26" s="102">
        <f>L26</f>
        <v>18</v>
      </c>
      <c r="U26" s="103">
        <f>T26*M26</f>
        <v>3600</v>
      </c>
      <c r="V26" s="54"/>
      <c r="W26" s="53"/>
      <c r="X26" s="54"/>
      <c r="Y26" s="54"/>
      <c r="Z26" s="40">
        <f>S26+U26+W26+Y26</f>
        <v>3600</v>
      </c>
      <c r="AA26" s="54"/>
      <c r="AB26" s="54"/>
      <c r="AC26" s="54"/>
      <c r="AD26" s="54"/>
      <c r="AE26" s="54"/>
      <c r="AF26" s="54"/>
      <c r="AG26" s="54"/>
      <c r="AH26" s="54"/>
      <c r="AI26" s="56"/>
      <c r="AJ26" s="54"/>
      <c r="AK26" s="54"/>
      <c r="AL26" s="54"/>
      <c r="AM26" s="54"/>
      <c r="AN26" s="54"/>
      <c r="AO26" s="54"/>
      <c r="AP26" s="54"/>
      <c r="AQ26" s="54"/>
      <c r="AR26" s="68"/>
      <c r="AS26" s="76">
        <f>Z26+AI26+AR26</f>
        <v>3600</v>
      </c>
      <c r="AT26" s="45">
        <f t="shared" si="1"/>
        <v>0</v>
      </c>
    </row>
    <row r="27" spans="1:46" ht="38.25" x14ac:dyDescent="0.25">
      <c r="A27" s="202" t="s">
        <v>34</v>
      </c>
      <c r="B27" s="202">
        <v>91</v>
      </c>
      <c r="C27" s="203">
        <v>2</v>
      </c>
      <c r="D27" s="204" t="s">
        <v>61</v>
      </c>
      <c r="E27" s="205">
        <v>200</v>
      </c>
      <c r="F27" s="205">
        <v>243</v>
      </c>
      <c r="G27" s="207" t="s">
        <v>69</v>
      </c>
      <c r="H27" s="208"/>
      <c r="I27" s="208"/>
      <c r="J27" s="208"/>
      <c r="K27" s="206" t="s">
        <v>52</v>
      </c>
      <c r="L27" s="205">
        <v>3</v>
      </c>
      <c r="M27" s="209">
        <v>750</v>
      </c>
      <c r="N27" s="243"/>
      <c r="O27" s="250">
        <f>M27*L27</f>
        <v>2250</v>
      </c>
      <c r="P27" s="210"/>
      <c r="Q27" s="211">
        <f t="shared" si="3"/>
        <v>2250</v>
      </c>
      <c r="R27" s="31"/>
      <c r="S27" s="37"/>
      <c r="T27" s="31"/>
      <c r="U27" s="37"/>
      <c r="V27" s="6">
        <v>3</v>
      </c>
      <c r="W27" s="37">
        <v>2250</v>
      </c>
      <c r="X27" s="31"/>
      <c r="Y27" s="37"/>
      <c r="Z27" s="40">
        <v>2250</v>
      </c>
      <c r="AA27" s="31"/>
      <c r="AB27" s="37"/>
      <c r="AC27" s="31"/>
      <c r="AD27" s="37"/>
      <c r="AE27" s="31"/>
      <c r="AF27" s="37"/>
      <c r="AG27" s="31"/>
      <c r="AH27" s="37"/>
      <c r="AI27" s="41"/>
      <c r="AJ27" s="31"/>
      <c r="AK27" s="37"/>
      <c r="AL27" s="31"/>
      <c r="AM27" s="37"/>
      <c r="AN27" s="31"/>
      <c r="AO27" s="37"/>
      <c r="AP27" s="31"/>
      <c r="AQ27" s="37"/>
      <c r="AR27" s="43"/>
      <c r="AS27" s="76">
        <f>Z27+AI27+AR27</f>
        <v>2250</v>
      </c>
      <c r="AT27" s="45">
        <f t="shared" si="1"/>
        <v>0</v>
      </c>
    </row>
    <row r="28" spans="1:46" ht="38.25" x14ac:dyDescent="0.25">
      <c r="A28" s="85" t="s">
        <v>34</v>
      </c>
      <c r="B28" s="85">
        <v>93</v>
      </c>
      <c r="C28" s="90">
        <v>5</v>
      </c>
      <c r="D28" s="91" t="s">
        <v>61</v>
      </c>
      <c r="E28" s="84">
        <v>200</v>
      </c>
      <c r="F28" s="93">
        <v>244</v>
      </c>
      <c r="G28" s="176" t="s">
        <v>58</v>
      </c>
      <c r="H28" s="92"/>
      <c r="I28" s="92"/>
      <c r="J28" s="92"/>
      <c r="K28" s="93" t="s">
        <v>36</v>
      </c>
      <c r="L28" s="84">
        <v>2000</v>
      </c>
      <c r="M28" s="98">
        <v>3</v>
      </c>
      <c r="N28" s="243">
        <v>6000</v>
      </c>
      <c r="O28" s="251">
        <f>(L28*M28)</f>
        <v>6000</v>
      </c>
      <c r="P28" s="106"/>
      <c r="Q28" s="124">
        <f t="shared" si="3"/>
        <v>6000</v>
      </c>
      <c r="R28" s="31"/>
      <c r="S28" s="37"/>
      <c r="T28" s="31"/>
      <c r="U28" s="37"/>
      <c r="V28" s="80">
        <v>2000</v>
      </c>
      <c r="W28" s="81">
        <v>6000</v>
      </c>
      <c r="X28" s="31"/>
      <c r="Y28" s="37"/>
      <c r="Z28" s="40">
        <f>S28+U28+W28+Y28</f>
        <v>6000</v>
      </c>
      <c r="AA28" s="31"/>
      <c r="AB28" s="37"/>
      <c r="AC28" s="31"/>
      <c r="AD28" s="37"/>
      <c r="AE28" s="31"/>
      <c r="AF28" s="37"/>
      <c r="AG28" s="31"/>
      <c r="AH28" s="37"/>
      <c r="AI28" s="41"/>
      <c r="AJ28" s="31"/>
      <c r="AK28" s="37"/>
      <c r="AL28" s="31"/>
      <c r="AM28" s="37"/>
      <c r="AN28" s="31"/>
      <c r="AO28" s="37"/>
      <c r="AP28" s="31"/>
      <c r="AQ28" s="37"/>
      <c r="AR28" s="43"/>
      <c r="AS28" s="76">
        <f>Z28+AI28+AR28</f>
        <v>6000</v>
      </c>
      <c r="AT28" s="45">
        <f t="shared" si="1"/>
        <v>0</v>
      </c>
    </row>
    <row r="29" spans="1:46" ht="25.5" x14ac:dyDescent="0.25">
      <c r="A29" s="109" t="s">
        <v>34</v>
      </c>
      <c r="B29" s="109">
        <v>113</v>
      </c>
      <c r="C29" s="110">
        <v>5</v>
      </c>
      <c r="D29" s="111" t="s">
        <v>60</v>
      </c>
      <c r="E29" s="112">
        <v>200</v>
      </c>
      <c r="F29" s="112">
        <v>284</v>
      </c>
      <c r="G29" s="180" t="s">
        <v>149</v>
      </c>
      <c r="H29" s="113"/>
      <c r="I29" s="113"/>
      <c r="J29" s="113"/>
      <c r="K29" s="114" t="s">
        <v>36</v>
      </c>
      <c r="L29" s="112">
        <v>25</v>
      </c>
      <c r="M29" s="115">
        <v>400</v>
      </c>
      <c r="N29" s="247">
        <v>10000</v>
      </c>
      <c r="O29" s="253">
        <f>(L29*M29)</f>
        <v>10000</v>
      </c>
      <c r="P29" s="108"/>
      <c r="Q29" s="124">
        <f t="shared" si="3"/>
        <v>10000</v>
      </c>
      <c r="R29" s="118"/>
      <c r="S29" s="119"/>
      <c r="T29" s="120"/>
      <c r="U29" s="119"/>
      <c r="V29" s="120"/>
      <c r="W29" s="119"/>
      <c r="X29" s="120" t="s">
        <v>130</v>
      </c>
      <c r="Y29" s="119" t="s">
        <v>130</v>
      </c>
      <c r="Z29" s="40"/>
      <c r="AA29" s="169">
        <v>25</v>
      </c>
      <c r="AB29" s="129">
        <v>10000</v>
      </c>
      <c r="AC29" s="31"/>
      <c r="AD29" s="37"/>
      <c r="AE29" s="31"/>
      <c r="AF29" s="37"/>
      <c r="AG29" s="31"/>
      <c r="AH29" s="37"/>
      <c r="AI29" s="41">
        <v>10000</v>
      </c>
      <c r="AJ29" s="31"/>
      <c r="AK29" s="37"/>
      <c r="AL29" s="31"/>
      <c r="AM29" s="37"/>
      <c r="AN29" s="31"/>
      <c r="AO29" s="37"/>
      <c r="AP29" s="31"/>
      <c r="AQ29" s="37"/>
      <c r="AR29" s="43"/>
      <c r="AS29" s="76">
        <f>Z29+AI29+AR29</f>
        <v>10000</v>
      </c>
      <c r="AT29" s="45">
        <f t="shared" si="1"/>
        <v>0</v>
      </c>
    </row>
    <row r="30" spans="1:46" ht="25.5" x14ac:dyDescent="0.25">
      <c r="A30" s="85" t="s">
        <v>34</v>
      </c>
      <c r="B30" s="85">
        <v>114</v>
      </c>
      <c r="C30" s="90">
        <v>2</v>
      </c>
      <c r="D30" s="91" t="s">
        <v>61</v>
      </c>
      <c r="E30" s="84">
        <v>200</v>
      </c>
      <c r="F30" s="84">
        <v>268</v>
      </c>
      <c r="G30" s="176" t="s">
        <v>48</v>
      </c>
      <c r="H30" s="92"/>
      <c r="I30" s="92"/>
      <c r="J30" s="92"/>
      <c r="K30" s="93" t="s">
        <v>36</v>
      </c>
      <c r="L30" s="84">
        <v>3000</v>
      </c>
      <c r="M30" s="98">
        <v>1</v>
      </c>
      <c r="N30" s="247">
        <v>7800</v>
      </c>
      <c r="O30" s="254">
        <f>M30*L30</f>
        <v>3000</v>
      </c>
      <c r="P30" s="201">
        <v>7800</v>
      </c>
      <c r="Q30" s="200">
        <f t="shared" si="3"/>
        <v>-4800</v>
      </c>
      <c r="R30" s="62"/>
      <c r="S30" s="37"/>
      <c r="T30" s="31"/>
      <c r="U30" s="37"/>
      <c r="V30" s="80">
        <v>3000</v>
      </c>
      <c r="W30" s="81">
        <v>3000</v>
      </c>
      <c r="X30" s="31"/>
      <c r="Y30" s="37"/>
      <c r="Z30" s="40">
        <f>S30+U30+W30+Y30</f>
        <v>3000</v>
      </c>
      <c r="AA30" s="31"/>
      <c r="AB30" s="37"/>
      <c r="AC30" s="31"/>
      <c r="AD30" s="37"/>
      <c r="AE30" s="31"/>
      <c r="AF30" s="37"/>
      <c r="AG30" s="31"/>
      <c r="AH30" s="37"/>
      <c r="AI30" s="41"/>
      <c r="AJ30" s="31"/>
      <c r="AK30" s="37"/>
      <c r="AL30" s="31"/>
      <c r="AM30" s="37"/>
      <c r="AN30" s="31"/>
      <c r="AO30" s="37"/>
      <c r="AP30" s="31"/>
      <c r="AQ30" s="37"/>
      <c r="AR30" s="43"/>
      <c r="AS30" s="76">
        <f>Z30+AI30+AR30</f>
        <v>3000</v>
      </c>
      <c r="AT30" s="45">
        <f t="shared" si="1"/>
        <v>0</v>
      </c>
    </row>
    <row r="31" spans="1:46" ht="25.5" x14ac:dyDescent="0.25">
      <c r="A31" s="109" t="s">
        <v>34</v>
      </c>
      <c r="B31" s="109">
        <v>115</v>
      </c>
      <c r="C31" s="110">
        <v>5</v>
      </c>
      <c r="D31" s="111" t="s">
        <v>60</v>
      </c>
      <c r="E31" s="112">
        <v>200</v>
      </c>
      <c r="F31" s="112">
        <v>268</v>
      </c>
      <c r="G31" s="180" t="s">
        <v>70</v>
      </c>
      <c r="H31" s="113"/>
      <c r="I31" s="113"/>
      <c r="J31" s="113"/>
      <c r="K31" s="114" t="s">
        <v>53</v>
      </c>
      <c r="L31" s="116">
        <v>250</v>
      </c>
      <c r="M31" s="117">
        <v>10</v>
      </c>
      <c r="N31" s="248">
        <v>5050</v>
      </c>
      <c r="O31" s="253">
        <f>(L31*M31)</f>
        <v>2500</v>
      </c>
      <c r="P31" s="108"/>
      <c r="Q31" s="124">
        <f t="shared" si="3"/>
        <v>2500</v>
      </c>
      <c r="R31" s="121"/>
      <c r="S31" s="117"/>
      <c r="T31" s="112"/>
      <c r="U31" s="119"/>
      <c r="V31" s="112"/>
      <c r="W31" s="119"/>
      <c r="X31" s="112" t="s">
        <v>130</v>
      </c>
      <c r="Y31" s="119" t="s">
        <v>130</v>
      </c>
      <c r="Z31" s="40">
        <v>2500</v>
      </c>
      <c r="AA31" s="170">
        <v>250</v>
      </c>
      <c r="AB31" s="129">
        <v>2500</v>
      </c>
      <c r="AC31" s="26"/>
      <c r="AD31" s="39"/>
      <c r="AE31" s="26"/>
      <c r="AF31" s="39"/>
      <c r="AG31" s="26"/>
      <c r="AH31" s="39"/>
      <c r="AI31" s="42">
        <v>2500</v>
      </c>
      <c r="AJ31" s="26"/>
      <c r="AK31" s="39"/>
      <c r="AL31" s="26"/>
      <c r="AM31" s="39"/>
      <c r="AN31" s="26"/>
      <c r="AO31" s="39"/>
      <c r="AP31" s="26"/>
      <c r="AQ31" s="39"/>
      <c r="AR31" s="47"/>
      <c r="AS31" s="79">
        <v>2500</v>
      </c>
      <c r="AT31" s="45">
        <f t="shared" si="1"/>
        <v>0</v>
      </c>
    </row>
    <row r="32" spans="1:46" ht="25.5" x14ac:dyDescent="0.25">
      <c r="A32" s="109" t="s">
        <v>34</v>
      </c>
      <c r="B32" s="109">
        <v>127</v>
      </c>
      <c r="C32" s="110">
        <v>5</v>
      </c>
      <c r="D32" s="111" t="s">
        <v>61</v>
      </c>
      <c r="E32" s="112">
        <v>200</v>
      </c>
      <c r="F32" s="112">
        <v>289</v>
      </c>
      <c r="G32" s="180" t="s">
        <v>49</v>
      </c>
      <c r="H32" s="113"/>
      <c r="I32" s="113"/>
      <c r="J32" s="113"/>
      <c r="K32" s="114" t="s">
        <v>37</v>
      </c>
      <c r="L32" s="112">
        <v>250</v>
      </c>
      <c r="M32" s="115">
        <v>25</v>
      </c>
      <c r="N32" s="243">
        <v>6250</v>
      </c>
      <c r="O32" s="251">
        <f>(L32*M32)</f>
        <v>6250</v>
      </c>
      <c r="P32" s="106"/>
      <c r="Q32" s="124">
        <f t="shared" si="3"/>
        <v>6250</v>
      </c>
      <c r="R32" s="120"/>
      <c r="S32" s="119"/>
      <c r="T32" s="120"/>
      <c r="U32" s="119"/>
      <c r="V32" s="120"/>
      <c r="W32" s="119"/>
      <c r="X32" s="120" t="s">
        <v>130</v>
      </c>
      <c r="Y32" s="119" t="s">
        <v>130</v>
      </c>
      <c r="Z32" s="40"/>
      <c r="AA32" s="169">
        <v>250</v>
      </c>
      <c r="AB32" s="129">
        <v>6250</v>
      </c>
      <c r="AC32" s="31"/>
      <c r="AD32" s="37"/>
      <c r="AE32" s="31"/>
      <c r="AF32" s="37"/>
      <c r="AG32" s="31"/>
      <c r="AH32" s="37"/>
      <c r="AI32" s="41">
        <v>6250</v>
      </c>
      <c r="AJ32" s="31"/>
      <c r="AK32" s="37"/>
      <c r="AL32" s="31"/>
      <c r="AM32" s="37"/>
      <c r="AN32" s="31"/>
      <c r="AO32" s="37"/>
      <c r="AP32" s="31"/>
      <c r="AQ32" s="37"/>
      <c r="AR32" s="43"/>
      <c r="AS32" s="76">
        <f>Z32+AI32+AR32</f>
        <v>6250</v>
      </c>
      <c r="AT32" s="45">
        <f t="shared" si="1"/>
        <v>0</v>
      </c>
    </row>
    <row r="33" spans="1:46" ht="38.25" customHeight="1" x14ac:dyDescent="0.25">
      <c r="A33" s="85" t="s">
        <v>34</v>
      </c>
      <c r="B33" s="85">
        <v>133</v>
      </c>
      <c r="C33" s="90">
        <v>2</v>
      </c>
      <c r="D33" s="91" t="s">
        <v>60</v>
      </c>
      <c r="E33" s="84">
        <v>200</v>
      </c>
      <c r="F33" s="84">
        <v>291</v>
      </c>
      <c r="G33" s="176" t="s">
        <v>50</v>
      </c>
      <c r="H33" s="92"/>
      <c r="I33" s="92"/>
      <c r="J33" s="92"/>
      <c r="K33" s="93" t="s">
        <v>37</v>
      </c>
      <c r="L33" s="84">
        <v>2500</v>
      </c>
      <c r="M33" s="98">
        <v>3.5</v>
      </c>
      <c r="N33" s="243">
        <v>8750</v>
      </c>
      <c r="O33" s="250">
        <f>M33*L33</f>
        <v>8750</v>
      </c>
      <c r="P33" s="105">
        <v>8747.52</v>
      </c>
      <c r="Q33" s="124">
        <f t="shared" si="3"/>
        <v>2.4799999999995634</v>
      </c>
      <c r="R33" s="31"/>
      <c r="S33" s="37"/>
      <c r="T33" s="31"/>
      <c r="U33" s="37"/>
      <c r="V33" s="80">
        <v>2500</v>
      </c>
      <c r="W33" s="81">
        <v>8750</v>
      </c>
      <c r="X33" s="31"/>
      <c r="Y33" s="37"/>
      <c r="Z33" s="40">
        <f>S33+U33+W33+Y33</f>
        <v>8750</v>
      </c>
      <c r="AA33" s="31"/>
      <c r="AB33" s="37"/>
      <c r="AC33" s="31"/>
      <c r="AD33" s="37"/>
      <c r="AE33" s="31"/>
      <c r="AF33" s="37"/>
      <c r="AG33" s="31"/>
      <c r="AH33" s="37"/>
      <c r="AI33" s="41"/>
      <c r="AJ33" s="31"/>
      <c r="AK33" s="37"/>
      <c r="AL33" s="31"/>
      <c r="AM33" s="37"/>
      <c r="AN33" s="31"/>
      <c r="AO33" s="37"/>
      <c r="AP33" s="31"/>
      <c r="AQ33" s="37"/>
      <c r="AR33" s="43"/>
      <c r="AS33" s="76">
        <f>Z33+AI33+AR33</f>
        <v>8750</v>
      </c>
      <c r="AT33" s="45">
        <f t="shared" si="1"/>
        <v>0</v>
      </c>
    </row>
    <row r="34" spans="1:46" ht="25.5" x14ac:dyDescent="0.25">
      <c r="A34" s="109" t="s">
        <v>34</v>
      </c>
      <c r="B34" s="109">
        <v>135</v>
      </c>
      <c r="C34" s="110">
        <v>5</v>
      </c>
      <c r="D34" s="111" t="s">
        <v>61</v>
      </c>
      <c r="E34" s="112">
        <v>200</v>
      </c>
      <c r="F34" s="112">
        <v>291</v>
      </c>
      <c r="G34" s="180" t="s">
        <v>51</v>
      </c>
      <c r="H34" s="113"/>
      <c r="I34" s="113"/>
      <c r="J34" s="113"/>
      <c r="K34" s="114" t="s">
        <v>36</v>
      </c>
      <c r="L34" s="112">
        <v>50</v>
      </c>
      <c r="M34" s="115">
        <v>70</v>
      </c>
      <c r="N34" s="243">
        <v>3500</v>
      </c>
      <c r="O34" s="251">
        <f>(L34*M34)</f>
        <v>3500</v>
      </c>
      <c r="P34" s="106"/>
      <c r="Q34" s="124">
        <f t="shared" si="3"/>
        <v>3500</v>
      </c>
      <c r="R34" s="120"/>
      <c r="S34" s="119"/>
      <c r="T34" s="120"/>
      <c r="U34" s="119"/>
      <c r="V34" s="120"/>
      <c r="W34" s="119"/>
      <c r="X34" s="120" t="s">
        <v>130</v>
      </c>
      <c r="Y34" s="119" t="s">
        <v>130</v>
      </c>
      <c r="Z34" s="40"/>
      <c r="AA34" s="169">
        <v>50</v>
      </c>
      <c r="AB34" s="129">
        <v>3500</v>
      </c>
      <c r="AC34" s="31"/>
      <c r="AD34" s="37"/>
      <c r="AE34" s="31"/>
      <c r="AF34" s="37"/>
      <c r="AG34" s="31"/>
      <c r="AH34" s="37"/>
      <c r="AI34" s="41">
        <v>3500</v>
      </c>
      <c r="AJ34" s="31"/>
      <c r="AK34" s="37"/>
      <c r="AL34" s="31"/>
      <c r="AM34" s="37"/>
      <c r="AN34" s="31"/>
      <c r="AO34" s="37"/>
      <c r="AP34" s="31"/>
      <c r="AQ34" s="37"/>
      <c r="AR34" s="43"/>
      <c r="AS34" s="76">
        <f>Z34+AI34+AR34</f>
        <v>3500</v>
      </c>
      <c r="AT34" s="45">
        <f t="shared" si="1"/>
        <v>0</v>
      </c>
    </row>
    <row r="35" spans="1:46" ht="35.25" customHeight="1" x14ac:dyDescent="0.25">
      <c r="A35" s="144" t="s">
        <v>34</v>
      </c>
      <c r="B35" s="147">
        <v>145</v>
      </c>
      <c r="C35" s="145">
        <v>2</v>
      </c>
      <c r="D35" s="146" t="s">
        <v>60</v>
      </c>
      <c r="E35" s="147">
        <v>200</v>
      </c>
      <c r="F35" s="148">
        <v>294</v>
      </c>
      <c r="G35" s="174" t="s">
        <v>64</v>
      </c>
      <c r="H35" s="155"/>
      <c r="I35" s="155"/>
      <c r="J35" s="155"/>
      <c r="K35" s="148" t="s">
        <v>36</v>
      </c>
      <c r="L35" s="147">
        <v>500</v>
      </c>
      <c r="M35" s="156">
        <v>15</v>
      </c>
      <c r="N35" s="243">
        <v>7274</v>
      </c>
      <c r="O35" s="250">
        <f>M35*L35</f>
        <v>7500</v>
      </c>
      <c r="P35" s="105"/>
      <c r="Q35" s="124">
        <f t="shared" si="3"/>
        <v>7500</v>
      </c>
      <c r="R35" s="31"/>
      <c r="S35" s="37"/>
      <c r="T35" s="31"/>
      <c r="U35" s="37"/>
      <c r="V35" s="31"/>
      <c r="W35" s="37"/>
      <c r="X35" s="31"/>
      <c r="Y35" s="37"/>
      <c r="Z35" s="40"/>
      <c r="AA35" s="31"/>
      <c r="AB35" s="37"/>
      <c r="AC35" s="31"/>
      <c r="AD35" s="37"/>
      <c r="AE35" s="31">
        <v>500</v>
      </c>
      <c r="AF35" s="37">
        <v>7500</v>
      </c>
      <c r="AG35" s="31"/>
      <c r="AH35" s="37"/>
      <c r="AI35" s="41">
        <f>AB35+AD35+AF35+AH35</f>
        <v>7500</v>
      </c>
      <c r="AJ35" s="31"/>
      <c r="AK35" s="37"/>
      <c r="AL35" s="31"/>
      <c r="AM35" s="37"/>
      <c r="AN35" s="31"/>
      <c r="AO35" s="37"/>
      <c r="AP35" s="31"/>
      <c r="AQ35" s="37"/>
      <c r="AR35" s="43"/>
      <c r="AS35" s="76">
        <f>Z35+AI35+AR35</f>
        <v>7500</v>
      </c>
      <c r="AT35" s="45">
        <f t="shared" si="1"/>
        <v>0</v>
      </c>
    </row>
    <row r="36" spans="1:46" ht="42.75" customHeight="1" x14ac:dyDescent="0.25">
      <c r="A36" s="144" t="s">
        <v>34</v>
      </c>
      <c r="B36" s="147">
        <v>146</v>
      </c>
      <c r="C36" s="152">
        <v>2</v>
      </c>
      <c r="D36" s="153" t="s">
        <v>62</v>
      </c>
      <c r="E36" s="147">
        <v>200</v>
      </c>
      <c r="F36" s="147">
        <v>268</v>
      </c>
      <c r="G36" s="181" t="s">
        <v>65</v>
      </c>
      <c r="H36" s="158"/>
      <c r="I36" s="158"/>
      <c r="J36" s="158"/>
      <c r="K36" s="148" t="s">
        <v>37</v>
      </c>
      <c r="L36" s="147">
        <v>450</v>
      </c>
      <c r="M36" s="156">
        <v>15</v>
      </c>
      <c r="N36" s="243">
        <v>6750</v>
      </c>
      <c r="O36" s="250">
        <f>M36*L36</f>
        <v>6750</v>
      </c>
      <c r="P36" s="105"/>
      <c r="Q36" s="124">
        <f>(O36-P36)</f>
        <v>6750</v>
      </c>
      <c r="R36" s="31"/>
      <c r="S36" s="37"/>
      <c r="T36" s="31"/>
      <c r="U36" s="37"/>
      <c r="V36" s="31"/>
      <c r="W36" s="37"/>
      <c r="X36" s="31"/>
      <c r="Y36" s="37"/>
      <c r="Z36" s="40"/>
      <c r="AA36" s="80">
        <v>400</v>
      </c>
      <c r="AB36" s="81">
        <v>6750</v>
      </c>
      <c r="AC36" s="31"/>
      <c r="AD36" s="37"/>
      <c r="AE36" s="31"/>
      <c r="AF36" s="37"/>
      <c r="AG36" s="31"/>
      <c r="AH36" s="37"/>
      <c r="AI36" s="41">
        <v>6750</v>
      </c>
      <c r="AJ36" s="31"/>
      <c r="AK36" s="37"/>
      <c r="AL36" s="31"/>
      <c r="AM36" s="37"/>
      <c r="AN36" s="31"/>
      <c r="AO36" s="37"/>
      <c r="AP36" s="31"/>
      <c r="AQ36" s="37"/>
      <c r="AR36" s="43"/>
      <c r="AS36" s="76">
        <f>Z36+AI36+AR36</f>
        <v>6750</v>
      </c>
      <c r="AT36" s="45">
        <f t="shared" ref="AT36" si="4">O36-AS36</f>
        <v>0</v>
      </c>
    </row>
    <row r="37" spans="1:46" s="240" customFormat="1" ht="58.5" customHeight="1" x14ac:dyDescent="0.25">
      <c r="A37" s="5" t="s">
        <v>34</v>
      </c>
      <c r="B37" s="5"/>
      <c r="C37" s="29">
        <v>2</v>
      </c>
      <c r="D37" s="74" t="s">
        <v>61</v>
      </c>
      <c r="E37" s="6">
        <v>100</v>
      </c>
      <c r="F37" s="11">
        <v>122</v>
      </c>
      <c r="G37" s="177" t="s">
        <v>136</v>
      </c>
      <c r="H37" s="59"/>
      <c r="I37" s="59"/>
      <c r="J37" s="59"/>
      <c r="K37" s="11" t="s">
        <v>137</v>
      </c>
      <c r="L37" s="6">
        <v>343</v>
      </c>
      <c r="M37" s="38">
        <v>28</v>
      </c>
      <c r="N37" s="243">
        <v>9000</v>
      </c>
      <c r="O37" s="250"/>
      <c r="P37" s="105"/>
      <c r="Q37" s="124"/>
      <c r="R37" s="31"/>
      <c r="S37" s="37"/>
      <c r="T37" s="31"/>
      <c r="U37" s="37"/>
      <c r="V37" s="6"/>
      <c r="W37" s="37"/>
      <c r="X37" s="31"/>
      <c r="Y37" s="37"/>
      <c r="Z37" s="37"/>
      <c r="AA37" s="31"/>
      <c r="AB37" s="37"/>
      <c r="AC37" s="31"/>
      <c r="AD37" s="37"/>
      <c r="AE37" s="31">
        <v>343</v>
      </c>
      <c r="AF37" s="37">
        <v>9604</v>
      </c>
      <c r="AG37" s="31"/>
      <c r="AH37" s="37"/>
      <c r="AI37" s="37">
        <v>9604</v>
      </c>
      <c r="AJ37" s="31"/>
      <c r="AK37" s="37"/>
      <c r="AL37" s="31"/>
      <c r="AM37" s="37"/>
      <c r="AN37" s="31"/>
      <c r="AO37" s="37"/>
      <c r="AP37" s="31"/>
      <c r="AQ37" s="37"/>
      <c r="AR37" s="37"/>
      <c r="AS37" s="239"/>
      <c r="AT37" s="45"/>
    </row>
    <row r="38" spans="1:46" s="240" customFormat="1" ht="58.5" customHeight="1" x14ac:dyDescent="0.25">
      <c r="A38" s="5" t="s">
        <v>34</v>
      </c>
      <c r="B38" s="5"/>
      <c r="C38" s="29"/>
      <c r="D38" s="74"/>
      <c r="E38" s="6"/>
      <c r="F38" s="262">
        <v>294</v>
      </c>
      <c r="G38" s="177" t="s">
        <v>157</v>
      </c>
      <c r="H38" s="59"/>
      <c r="I38" s="59"/>
      <c r="J38" s="59"/>
      <c r="K38" s="11" t="s">
        <v>137</v>
      </c>
      <c r="L38" s="6">
        <v>1</v>
      </c>
      <c r="M38" s="38"/>
      <c r="N38" s="243">
        <v>226</v>
      </c>
      <c r="O38" s="250"/>
      <c r="P38" s="105"/>
      <c r="Q38" s="124"/>
      <c r="R38" s="31"/>
      <c r="S38" s="37"/>
      <c r="T38" s="31"/>
      <c r="U38" s="37"/>
      <c r="V38" s="6"/>
      <c r="W38" s="37"/>
      <c r="X38" s="31"/>
      <c r="Y38" s="37"/>
      <c r="Z38" s="37"/>
      <c r="AA38" s="31"/>
      <c r="AB38" s="37"/>
      <c r="AC38" s="31"/>
      <c r="AD38" s="37"/>
      <c r="AE38" s="31"/>
      <c r="AF38" s="37"/>
      <c r="AG38" s="31"/>
      <c r="AH38" s="37"/>
      <c r="AI38" s="37"/>
      <c r="AJ38" s="31"/>
      <c r="AK38" s="37"/>
      <c r="AL38" s="31"/>
      <c r="AM38" s="37"/>
      <c r="AN38" s="31"/>
      <c r="AO38" s="37"/>
      <c r="AP38" s="31"/>
      <c r="AQ38" s="37"/>
      <c r="AR38" s="37"/>
      <c r="AS38" s="239"/>
      <c r="AT38" s="45"/>
    </row>
    <row r="39" spans="1:46" s="240" customFormat="1" ht="42.75" customHeight="1" x14ac:dyDescent="0.25">
      <c r="A39" s="5" t="s">
        <v>34</v>
      </c>
      <c r="B39" s="6"/>
      <c r="C39" s="66"/>
      <c r="D39" s="75"/>
      <c r="E39" s="6"/>
      <c r="F39" s="6">
        <v>268</v>
      </c>
      <c r="G39" s="177" t="s">
        <v>155</v>
      </c>
      <c r="H39" s="59"/>
      <c r="I39" s="59"/>
      <c r="J39" s="59"/>
      <c r="K39" s="11" t="s">
        <v>137</v>
      </c>
      <c r="L39" s="6"/>
      <c r="M39" s="38"/>
      <c r="N39" s="243">
        <v>600</v>
      </c>
      <c r="O39" s="250"/>
      <c r="P39" s="105"/>
      <c r="Q39" s="124"/>
      <c r="R39" s="31"/>
      <c r="S39" s="37"/>
      <c r="T39" s="31"/>
      <c r="U39" s="37"/>
      <c r="V39" s="31"/>
      <c r="W39" s="37"/>
      <c r="X39" s="31"/>
      <c r="Y39" s="37"/>
      <c r="Z39" s="37"/>
      <c r="AA39" s="31"/>
      <c r="AB39" s="37"/>
      <c r="AC39" s="31"/>
      <c r="AD39" s="37"/>
      <c r="AE39" s="31"/>
      <c r="AF39" s="37"/>
      <c r="AG39" s="31"/>
      <c r="AH39" s="37"/>
      <c r="AI39" s="37"/>
      <c r="AJ39" s="31"/>
      <c r="AK39" s="37"/>
      <c r="AL39" s="31"/>
      <c r="AM39" s="37"/>
      <c r="AN39" s="31"/>
      <c r="AO39" s="37"/>
      <c r="AP39" s="31"/>
      <c r="AQ39" s="37"/>
      <c r="AR39" s="37"/>
      <c r="AS39" s="239"/>
      <c r="AT39" s="45"/>
    </row>
    <row r="40" spans="1:46" s="240" customFormat="1" ht="42.75" customHeight="1" x14ac:dyDescent="0.25">
      <c r="A40" s="5" t="s">
        <v>34</v>
      </c>
      <c r="B40" s="6"/>
      <c r="C40" s="66"/>
      <c r="D40" s="75"/>
      <c r="E40" s="6"/>
      <c r="F40" s="6">
        <v>214</v>
      </c>
      <c r="G40" s="177" t="s">
        <v>154</v>
      </c>
      <c r="H40" s="59"/>
      <c r="I40" s="59"/>
      <c r="J40" s="59"/>
      <c r="K40" s="11" t="s">
        <v>137</v>
      </c>
      <c r="L40" s="6"/>
      <c r="M40" s="38"/>
      <c r="N40" s="243">
        <v>300</v>
      </c>
      <c r="O40" s="250"/>
      <c r="P40" s="105"/>
      <c r="Q40" s="124"/>
      <c r="R40" s="31"/>
      <c r="S40" s="37"/>
      <c r="T40" s="31"/>
      <c r="U40" s="37"/>
      <c r="V40" s="31"/>
      <c r="W40" s="37"/>
      <c r="X40" s="31"/>
      <c r="Y40" s="37"/>
      <c r="Z40" s="37"/>
      <c r="AA40" s="31"/>
      <c r="AB40" s="37"/>
      <c r="AC40" s="31"/>
      <c r="AD40" s="37"/>
      <c r="AE40" s="31"/>
      <c r="AF40" s="37"/>
      <c r="AG40" s="31"/>
      <c r="AH40" s="37"/>
      <c r="AI40" s="37"/>
      <c r="AJ40" s="31"/>
      <c r="AK40" s="37"/>
      <c r="AL40" s="31"/>
      <c r="AM40" s="37"/>
      <c r="AN40" s="31"/>
      <c r="AO40" s="37"/>
      <c r="AP40" s="31"/>
      <c r="AQ40" s="37"/>
      <c r="AR40" s="37"/>
      <c r="AS40" s="239"/>
      <c r="AT40" s="45"/>
    </row>
    <row r="41" spans="1:46" s="240" customFormat="1" ht="45" customHeight="1" x14ac:dyDescent="0.25">
      <c r="A41" s="5"/>
      <c r="B41" s="6"/>
      <c r="C41" s="66"/>
      <c r="D41" s="75"/>
      <c r="E41" s="6"/>
      <c r="F41" s="261">
        <v>268</v>
      </c>
      <c r="G41" s="177" t="s">
        <v>159</v>
      </c>
      <c r="H41" s="59"/>
      <c r="I41" s="59"/>
      <c r="J41" s="59"/>
      <c r="K41" s="11" t="s">
        <v>137</v>
      </c>
      <c r="L41" s="6">
        <v>1</v>
      </c>
      <c r="M41" s="257"/>
      <c r="N41" s="243">
        <v>225</v>
      </c>
      <c r="O41" s="250"/>
      <c r="P41" s="258"/>
      <c r="Q41" s="124"/>
      <c r="R41" s="31"/>
      <c r="S41" s="37"/>
      <c r="T41" s="31"/>
      <c r="U41" s="37"/>
      <c r="V41" s="31"/>
      <c r="W41" s="37"/>
      <c r="X41" s="31"/>
      <c r="Y41" s="37"/>
      <c r="Z41" s="37"/>
      <c r="AA41" s="31"/>
      <c r="AB41" s="37"/>
      <c r="AC41" s="31"/>
      <c r="AD41" s="37"/>
      <c r="AE41" s="31"/>
      <c r="AF41" s="37"/>
      <c r="AG41" s="31"/>
      <c r="AH41" s="37"/>
      <c r="AI41" s="37"/>
      <c r="AJ41" s="31"/>
      <c r="AK41" s="37"/>
      <c r="AL41" s="31"/>
      <c r="AM41" s="37"/>
      <c r="AN41" s="31"/>
      <c r="AO41" s="37"/>
      <c r="AP41" s="31"/>
      <c r="AQ41" s="37"/>
      <c r="AR41" s="37"/>
      <c r="AS41" s="239"/>
      <c r="AT41" s="45"/>
    </row>
    <row r="42" spans="1:46" ht="30.75" customHeight="1" x14ac:dyDescent="0.25">
      <c r="A42" s="34"/>
      <c r="B42" s="34"/>
      <c r="C42" s="34"/>
      <c r="D42" s="71"/>
      <c r="E42" s="34"/>
      <c r="F42" s="34" t="s">
        <v>55</v>
      </c>
      <c r="G42" s="182"/>
      <c r="H42" s="57"/>
      <c r="I42" s="57"/>
      <c r="J42" s="57"/>
      <c r="K42" s="34"/>
      <c r="L42" s="34"/>
      <c r="M42" s="65"/>
      <c r="N42" s="259">
        <f>SUM(N3:N41)</f>
        <v>365325</v>
      </c>
      <c r="O42" s="260">
        <f>SUM(O3:O41)</f>
        <v>365100</v>
      </c>
      <c r="P42" s="255"/>
      <c r="Q42" s="256"/>
      <c r="R42" s="69">
        <f t="shared" ref="R42:AT42" si="5">SUM(R3:R41)</f>
        <v>0</v>
      </c>
      <c r="S42" s="69">
        <f t="shared" si="5"/>
        <v>0</v>
      </c>
      <c r="T42" s="69">
        <f t="shared" si="5"/>
        <v>5023</v>
      </c>
      <c r="U42" s="69">
        <f t="shared" si="5"/>
        <v>14100</v>
      </c>
      <c r="V42" s="69">
        <f t="shared" si="5"/>
        <v>18590</v>
      </c>
      <c r="W42" s="69">
        <f t="shared" si="5"/>
        <v>86560</v>
      </c>
      <c r="X42" s="69">
        <f t="shared" si="5"/>
        <v>13</v>
      </c>
      <c r="Y42" s="69">
        <f t="shared" si="5"/>
        <v>3860</v>
      </c>
      <c r="Z42" s="69">
        <f t="shared" si="5"/>
        <v>107020</v>
      </c>
      <c r="AA42" s="69">
        <f t="shared" si="5"/>
        <v>7521</v>
      </c>
      <c r="AB42" s="69">
        <f t="shared" si="5"/>
        <v>54710</v>
      </c>
      <c r="AC42" s="69">
        <f t="shared" si="5"/>
        <v>47</v>
      </c>
      <c r="AD42" s="69">
        <f t="shared" si="5"/>
        <v>7310</v>
      </c>
      <c r="AE42" s="69">
        <f t="shared" si="5"/>
        <v>2957</v>
      </c>
      <c r="AF42" s="69">
        <f t="shared" si="5"/>
        <v>55064</v>
      </c>
      <c r="AG42" s="69">
        <f t="shared" si="5"/>
        <v>12663</v>
      </c>
      <c r="AH42" s="69">
        <f t="shared" si="5"/>
        <v>135860</v>
      </c>
      <c r="AI42" s="69">
        <f t="shared" si="5"/>
        <v>252944</v>
      </c>
      <c r="AJ42" s="69">
        <f t="shared" si="5"/>
        <v>84</v>
      </c>
      <c r="AK42" s="69">
        <f t="shared" si="5"/>
        <v>12240</v>
      </c>
      <c r="AL42" s="69">
        <f t="shared" si="5"/>
        <v>15</v>
      </c>
      <c r="AM42" s="69">
        <f t="shared" si="5"/>
        <v>4700</v>
      </c>
      <c r="AN42" s="69">
        <f t="shared" si="5"/>
        <v>3</v>
      </c>
      <c r="AO42" s="69">
        <f t="shared" si="5"/>
        <v>300</v>
      </c>
      <c r="AP42" s="69">
        <f t="shared" si="5"/>
        <v>0</v>
      </c>
      <c r="AQ42" s="69">
        <f t="shared" si="5"/>
        <v>0</v>
      </c>
      <c r="AR42" s="69">
        <f t="shared" si="5"/>
        <v>17240</v>
      </c>
      <c r="AS42" s="69">
        <f t="shared" si="5"/>
        <v>365100</v>
      </c>
      <c r="AT42" s="69">
        <f t="shared" si="5"/>
        <v>0</v>
      </c>
    </row>
    <row r="47" spans="1:46" ht="36.75" customHeight="1" x14ac:dyDescent="0.25">
      <c r="A47" s="227" t="s">
        <v>140</v>
      </c>
    </row>
    <row r="48" spans="1:46" s="240" customFormat="1" ht="58.5" customHeight="1" x14ac:dyDescent="0.25">
      <c r="A48" s="5" t="s">
        <v>34</v>
      </c>
      <c r="B48" s="5"/>
      <c r="C48" s="29">
        <v>2</v>
      </c>
      <c r="D48" s="74" t="s">
        <v>61</v>
      </c>
      <c r="E48" s="6">
        <v>100</v>
      </c>
      <c r="F48" s="11">
        <v>122</v>
      </c>
      <c r="G48" s="177" t="s">
        <v>136</v>
      </c>
      <c r="H48" s="59"/>
      <c r="I48" s="59"/>
      <c r="J48" s="59"/>
      <c r="K48" s="11" t="s">
        <v>137</v>
      </c>
      <c r="L48" s="6">
        <v>343</v>
      </c>
      <c r="M48" s="38">
        <v>28</v>
      </c>
      <c r="N48" s="38"/>
      <c r="O48" s="237">
        <f>M48*L48</f>
        <v>9604</v>
      </c>
      <c r="P48" s="237"/>
      <c r="Q48" s="238"/>
      <c r="R48" s="31"/>
      <c r="S48" s="37"/>
      <c r="T48" s="31"/>
      <c r="U48" s="37"/>
      <c r="V48" s="6"/>
      <c r="W48" s="37"/>
      <c r="X48" s="31"/>
      <c r="Y48" s="37"/>
      <c r="Z48" s="37"/>
      <c r="AA48" s="31"/>
      <c r="AB48" s="37"/>
      <c r="AC48" s="31"/>
      <c r="AD48" s="37"/>
      <c r="AE48" s="31">
        <v>343</v>
      </c>
      <c r="AF48" s="37">
        <v>9604</v>
      </c>
      <c r="AG48" s="31"/>
      <c r="AH48" s="37"/>
      <c r="AI48" s="37">
        <v>9604</v>
      </c>
      <c r="AJ48" s="31"/>
      <c r="AK48" s="37"/>
      <c r="AL48" s="31"/>
      <c r="AM48" s="37"/>
      <c r="AN48" s="31"/>
      <c r="AO48" s="37"/>
      <c r="AP48" s="31"/>
      <c r="AQ48" s="37"/>
      <c r="AR48" s="37"/>
      <c r="AS48" s="239"/>
      <c r="AT48" s="45"/>
    </row>
    <row r="49" spans="1:7" ht="57.75" customHeight="1" x14ac:dyDescent="0.25"/>
    <row r="50" spans="1:7" x14ac:dyDescent="0.25">
      <c r="A50" s="263" t="s">
        <v>160</v>
      </c>
      <c r="B50" s="263"/>
      <c r="C50" s="263"/>
      <c r="D50" s="263"/>
      <c r="E50" s="263"/>
      <c r="F50" s="263"/>
      <c r="G50" s="263"/>
    </row>
    <row r="51" spans="1:7" x14ac:dyDescent="0.25">
      <c r="A51" s="263"/>
      <c r="B51" s="263"/>
      <c r="C51" s="263"/>
      <c r="D51" s="263"/>
      <c r="E51" s="263"/>
      <c r="F51" s="263"/>
      <c r="G51" s="263"/>
    </row>
    <row r="52" spans="1:7" ht="35.25" customHeight="1" x14ac:dyDescent="0.25">
      <c r="A52" s="263"/>
      <c r="B52" s="263"/>
      <c r="C52" s="263"/>
      <c r="D52" s="263"/>
      <c r="E52" s="263"/>
      <c r="F52" s="263"/>
      <c r="G52" s="263"/>
    </row>
    <row r="54" spans="1:7" ht="15" customHeight="1" x14ac:dyDescent="0.25">
      <c r="A54" s="264" t="s">
        <v>148</v>
      </c>
      <c r="B54" s="264"/>
      <c r="C54" s="264"/>
      <c r="D54" s="264"/>
      <c r="E54" s="264"/>
      <c r="F54" s="264"/>
      <c r="G54" s="264"/>
    </row>
    <row r="55" spans="1:7" x14ac:dyDescent="0.25">
      <c r="A55" s="264"/>
      <c r="B55" s="264"/>
      <c r="C55" s="264"/>
      <c r="D55" s="264"/>
      <c r="E55" s="264"/>
      <c r="F55" s="264"/>
      <c r="G55" s="264"/>
    </row>
    <row r="56" spans="1:7" x14ac:dyDescent="0.25">
      <c r="A56" s="264"/>
      <c r="B56" s="264"/>
      <c r="C56" s="264"/>
      <c r="D56" s="264"/>
      <c r="E56" s="264"/>
      <c r="F56" s="264"/>
      <c r="G56" s="264"/>
    </row>
  </sheetData>
  <autoFilter ref="A2:AT42"/>
  <mergeCells count="14">
    <mergeCell ref="AL1:AM1"/>
    <mergeCell ref="AN1:AO1"/>
    <mergeCell ref="AP1:AQ1"/>
    <mergeCell ref="R1:S1"/>
    <mergeCell ref="T1:U1"/>
    <mergeCell ref="V1:W1"/>
    <mergeCell ref="X1:Y1"/>
    <mergeCell ref="AA1:AB1"/>
    <mergeCell ref="AC1:AD1"/>
    <mergeCell ref="A50:G52"/>
    <mergeCell ref="A54:G56"/>
    <mergeCell ref="AE1:AF1"/>
    <mergeCell ref="AG1:AH1"/>
    <mergeCell ref="AJ1:AK1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opLeftCell="A13" workbookViewId="0">
      <selection activeCell="D6" sqref="D6"/>
    </sheetView>
  </sheetViews>
  <sheetFormatPr baseColWidth="10" defaultRowHeight="12.75" x14ac:dyDescent="0.2"/>
  <cols>
    <col min="1" max="1" width="5.42578125" style="159" customWidth="1"/>
    <col min="2" max="2" width="5.28515625" style="159" customWidth="1"/>
    <col min="3" max="3" width="5.85546875" style="159" customWidth="1"/>
    <col min="4" max="4" width="25.5703125" style="161" customWidth="1"/>
    <col min="5" max="5" width="13.5703125" style="161" customWidth="1"/>
    <col min="6" max="6" width="15.42578125" style="159" customWidth="1"/>
    <col min="7" max="7" width="9" style="159" customWidth="1"/>
    <col min="8" max="8" width="10" style="159" customWidth="1"/>
    <col min="9" max="9" width="11.85546875" style="163" customWidth="1"/>
    <col min="10" max="10" width="14" style="163" customWidth="1"/>
    <col min="11" max="16384" width="11.42578125" style="159"/>
  </cols>
  <sheetData>
    <row r="1" spans="1:11" ht="61.5" customHeight="1" x14ac:dyDescent="0.25">
      <c r="A1" s="162" t="s">
        <v>119</v>
      </c>
      <c r="B1" s="162" t="s">
        <v>120</v>
      </c>
      <c r="C1" s="162" t="s">
        <v>121</v>
      </c>
      <c r="D1" s="162" t="s">
        <v>100</v>
      </c>
      <c r="E1" s="162" t="s">
        <v>4</v>
      </c>
      <c r="F1" s="162" t="s">
        <v>101</v>
      </c>
      <c r="G1" s="162" t="s">
        <v>123</v>
      </c>
      <c r="H1" s="162" t="s">
        <v>122</v>
      </c>
      <c r="I1" s="162" t="s">
        <v>126</v>
      </c>
      <c r="J1" s="162" t="s">
        <v>127</v>
      </c>
      <c r="K1" s="127"/>
    </row>
    <row r="2" spans="1:11" ht="38.25" x14ac:dyDescent="0.25">
      <c r="A2" s="276">
        <v>5</v>
      </c>
      <c r="B2" s="276">
        <v>2</v>
      </c>
      <c r="C2" s="277">
        <v>122</v>
      </c>
      <c r="D2" s="278" t="s">
        <v>80</v>
      </c>
      <c r="E2" s="278">
        <v>3500</v>
      </c>
      <c r="F2" s="276" t="s">
        <v>102</v>
      </c>
      <c r="G2" s="276" t="s">
        <v>111</v>
      </c>
      <c r="H2" s="276" t="s">
        <v>103</v>
      </c>
      <c r="I2" s="279" t="s">
        <v>125</v>
      </c>
      <c r="J2" s="279" t="s">
        <v>125</v>
      </c>
      <c r="K2" s="127"/>
    </row>
    <row r="3" spans="1:11" ht="38.25" x14ac:dyDescent="0.25">
      <c r="A3" s="160">
        <v>2</v>
      </c>
      <c r="B3" s="160">
        <v>5</v>
      </c>
      <c r="C3" s="128">
        <v>122</v>
      </c>
      <c r="D3" s="282" t="s">
        <v>79</v>
      </c>
      <c r="E3" s="164">
        <v>5250</v>
      </c>
      <c r="F3" s="160" t="s">
        <v>112</v>
      </c>
      <c r="G3" s="160" t="s">
        <v>111</v>
      </c>
      <c r="H3" s="160" t="s">
        <v>104</v>
      </c>
      <c r="I3" s="166">
        <v>44314</v>
      </c>
      <c r="J3" s="165" t="s">
        <v>128</v>
      </c>
      <c r="K3" s="127"/>
    </row>
    <row r="4" spans="1:11" ht="25.5" x14ac:dyDescent="0.25">
      <c r="A4" s="160">
        <v>5</v>
      </c>
      <c r="B4" s="160">
        <v>2</v>
      </c>
      <c r="C4" s="128">
        <v>122</v>
      </c>
      <c r="D4" s="167" t="s">
        <v>129</v>
      </c>
      <c r="E4" s="164">
        <v>45000</v>
      </c>
      <c r="F4" s="160" t="s">
        <v>105</v>
      </c>
      <c r="G4" s="160" t="s">
        <v>111</v>
      </c>
      <c r="H4" s="160" t="s">
        <v>104</v>
      </c>
      <c r="I4" s="166">
        <v>44377</v>
      </c>
      <c r="J4" s="166">
        <v>44312</v>
      </c>
      <c r="K4" s="127"/>
    </row>
    <row r="5" spans="1:11" ht="51" x14ac:dyDescent="0.25">
      <c r="A5" s="160">
        <v>5</v>
      </c>
      <c r="B5" s="160">
        <v>2</v>
      </c>
      <c r="C5" s="128">
        <v>122</v>
      </c>
      <c r="D5" s="167" t="s">
        <v>81</v>
      </c>
      <c r="E5" s="164">
        <v>10000</v>
      </c>
      <c r="F5" s="160" t="s">
        <v>105</v>
      </c>
      <c r="G5" s="160" t="s">
        <v>111</v>
      </c>
      <c r="H5" s="160" t="s">
        <v>104</v>
      </c>
      <c r="I5" s="166">
        <v>44377</v>
      </c>
      <c r="J5" s="166">
        <v>44312</v>
      </c>
      <c r="K5" s="127"/>
    </row>
    <row r="6" spans="1:11" ht="76.5" x14ac:dyDescent="0.25">
      <c r="A6" s="160">
        <v>5</v>
      </c>
      <c r="B6" s="160">
        <v>2</v>
      </c>
      <c r="C6" s="128">
        <v>122</v>
      </c>
      <c r="D6" s="167" t="s">
        <v>82</v>
      </c>
      <c r="E6" s="164">
        <v>9000</v>
      </c>
      <c r="F6" s="160" t="s">
        <v>113</v>
      </c>
      <c r="G6" s="160" t="s">
        <v>111</v>
      </c>
      <c r="H6" s="160" t="s">
        <v>104</v>
      </c>
      <c r="I6" s="165" t="s">
        <v>124</v>
      </c>
      <c r="J6" s="165" t="s">
        <v>124</v>
      </c>
      <c r="K6" s="127"/>
    </row>
    <row r="7" spans="1:11" ht="51" x14ac:dyDescent="0.25">
      <c r="A7" s="160">
        <v>2</v>
      </c>
      <c r="B7" s="160">
        <v>1</v>
      </c>
      <c r="C7" s="128">
        <v>122</v>
      </c>
      <c r="D7" s="283" t="s">
        <v>83</v>
      </c>
      <c r="E7" s="168">
        <v>5000</v>
      </c>
      <c r="F7" s="160" t="s">
        <v>109</v>
      </c>
      <c r="G7" s="160" t="s">
        <v>111</v>
      </c>
      <c r="H7" s="160" t="s">
        <v>104</v>
      </c>
      <c r="I7" s="166">
        <v>44331</v>
      </c>
      <c r="J7" s="165" t="s">
        <v>128</v>
      </c>
      <c r="K7" s="127"/>
    </row>
    <row r="8" spans="1:11" ht="38.25" x14ac:dyDescent="0.25">
      <c r="A8" s="276">
        <v>2</v>
      </c>
      <c r="B8" s="276">
        <v>1</v>
      </c>
      <c r="C8" s="277">
        <v>122</v>
      </c>
      <c r="D8" s="280" t="s">
        <v>38</v>
      </c>
      <c r="E8" s="281">
        <v>15000</v>
      </c>
      <c r="F8" s="276" t="s">
        <v>102</v>
      </c>
      <c r="G8" s="276" t="s">
        <v>111</v>
      </c>
      <c r="H8" s="276" t="s">
        <v>103</v>
      </c>
      <c r="I8" s="279" t="s">
        <v>125</v>
      </c>
      <c r="J8" s="279" t="s">
        <v>125</v>
      </c>
      <c r="K8" s="127"/>
    </row>
    <row r="9" spans="1:11" ht="38.25" x14ac:dyDescent="0.25">
      <c r="A9" s="160">
        <v>2</v>
      </c>
      <c r="B9" s="160">
        <v>2</v>
      </c>
      <c r="C9" s="128">
        <v>122</v>
      </c>
      <c r="D9" s="283" t="s">
        <v>39</v>
      </c>
      <c r="E9" s="168">
        <v>15000</v>
      </c>
      <c r="F9" s="160" t="s">
        <v>105</v>
      </c>
      <c r="G9" s="160" t="s">
        <v>111</v>
      </c>
      <c r="H9" s="160" t="s">
        <v>104</v>
      </c>
      <c r="I9" s="166">
        <v>44344</v>
      </c>
      <c r="J9" s="165"/>
      <c r="K9" s="127"/>
    </row>
    <row r="10" spans="1:11" ht="51" x14ac:dyDescent="0.25">
      <c r="A10" s="160">
        <v>5</v>
      </c>
      <c r="B10" s="160">
        <v>1</v>
      </c>
      <c r="C10" s="128">
        <v>122</v>
      </c>
      <c r="D10" s="283" t="s">
        <v>41</v>
      </c>
      <c r="E10" s="168">
        <v>4000</v>
      </c>
      <c r="F10" s="160" t="s">
        <v>106</v>
      </c>
      <c r="G10" s="160" t="s">
        <v>111</v>
      </c>
      <c r="H10" s="160" t="s">
        <v>107</v>
      </c>
      <c r="I10" s="165" t="s">
        <v>128</v>
      </c>
      <c r="J10" s="166">
        <v>44320</v>
      </c>
      <c r="K10" s="127"/>
    </row>
    <row r="11" spans="1:11" ht="51" x14ac:dyDescent="0.25">
      <c r="A11" s="160">
        <v>2</v>
      </c>
      <c r="B11" s="160">
        <v>2</v>
      </c>
      <c r="C11" s="128">
        <v>122</v>
      </c>
      <c r="D11" s="283" t="s">
        <v>43</v>
      </c>
      <c r="E11" s="168">
        <v>37500</v>
      </c>
      <c r="F11" s="160" t="s">
        <v>108</v>
      </c>
      <c r="G11" s="160" t="s">
        <v>111</v>
      </c>
      <c r="H11" s="160" t="s">
        <v>104</v>
      </c>
      <c r="I11" s="166">
        <v>44344</v>
      </c>
      <c r="J11" s="165" t="s">
        <v>128</v>
      </c>
      <c r="K11" s="127"/>
    </row>
    <row r="12" spans="1:11" ht="25.5" x14ac:dyDescent="0.25">
      <c r="A12" s="160">
        <v>2</v>
      </c>
      <c r="B12" s="160">
        <v>1</v>
      </c>
      <c r="C12" s="128">
        <v>122</v>
      </c>
      <c r="D12" s="283" t="s">
        <v>85</v>
      </c>
      <c r="E12" s="168">
        <v>30000</v>
      </c>
      <c r="F12" s="160" t="s">
        <v>109</v>
      </c>
      <c r="G12" s="160" t="s">
        <v>111</v>
      </c>
      <c r="H12" s="160" t="s">
        <v>107</v>
      </c>
      <c r="I12" s="166">
        <v>44331</v>
      </c>
      <c r="J12" s="165" t="s">
        <v>128</v>
      </c>
      <c r="K12" s="127"/>
    </row>
    <row r="13" spans="1:11" ht="38.25" x14ac:dyDescent="0.25">
      <c r="A13" s="160">
        <v>2</v>
      </c>
      <c r="B13" s="160">
        <v>5</v>
      </c>
      <c r="C13" s="128">
        <v>122</v>
      </c>
      <c r="D13" s="283" t="s">
        <v>86</v>
      </c>
      <c r="E13" s="168">
        <v>5250</v>
      </c>
      <c r="F13" s="160" t="s">
        <v>106</v>
      </c>
      <c r="G13" s="160" t="s">
        <v>111</v>
      </c>
      <c r="H13" s="160" t="s">
        <v>104</v>
      </c>
      <c r="I13" s="166">
        <v>44371</v>
      </c>
      <c r="J13" s="165" t="s">
        <v>128</v>
      </c>
      <c r="K13" s="127"/>
    </row>
    <row r="14" spans="1:11" ht="26.25" x14ac:dyDescent="0.25">
      <c r="A14" s="160">
        <v>5</v>
      </c>
      <c r="B14" s="160">
        <v>2</v>
      </c>
      <c r="C14" s="128">
        <v>211</v>
      </c>
      <c r="D14" s="167" t="s">
        <v>56</v>
      </c>
      <c r="E14" s="168">
        <v>6700</v>
      </c>
      <c r="F14" s="160" t="s">
        <v>115</v>
      </c>
      <c r="G14" s="160" t="s">
        <v>114</v>
      </c>
      <c r="H14" s="160" t="s">
        <v>110</v>
      </c>
      <c r="I14" s="165" t="s">
        <v>128</v>
      </c>
      <c r="J14" s="165" t="s">
        <v>128</v>
      </c>
      <c r="K14" s="127"/>
    </row>
    <row r="15" spans="1:11" ht="51" x14ac:dyDescent="0.2">
      <c r="A15" s="160">
        <v>2</v>
      </c>
      <c r="B15" s="160">
        <v>2</v>
      </c>
      <c r="C15" s="128">
        <v>189</v>
      </c>
      <c r="D15" s="167" t="s">
        <v>68</v>
      </c>
      <c r="E15" s="168">
        <v>15000</v>
      </c>
      <c r="F15" s="269" t="s">
        <v>109</v>
      </c>
      <c r="G15" s="269" t="s">
        <v>116</v>
      </c>
      <c r="H15" s="269" t="s">
        <v>114</v>
      </c>
      <c r="I15" s="272" t="s">
        <v>128</v>
      </c>
      <c r="J15" s="269" t="s">
        <v>128</v>
      </c>
      <c r="K15" s="271" t="s">
        <v>118</v>
      </c>
    </row>
    <row r="16" spans="1:11" ht="51" x14ac:dyDescent="0.2">
      <c r="A16" s="160">
        <v>2</v>
      </c>
      <c r="B16" s="160">
        <v>2</v>
      </c>
      <c r="C16" s="128">
        <v>243</v>
      </c>
      <c r="D16" s="167" t="s">
        <v>69</v>
      </c>
      <c r="E16" s="168">
        <v>2250</v>
      </c>
      <c r="F16" s="270"/>
      <c r="G16" s="270"/>
      <c r="H16" s="270"/>
      <c r="I16" s="273"/>
      <c r="J16" s="270"/>
      <c r="K16" s="271"/>
    </row>
    <row r="17" spans="1:11" ht="25.5" x14ac:dyDescent="0.2">
      <c r="A17" s="160">
        <v>5</v>
      </c>
      <c r="B17" s="160">
        <v>1</v>
      </c>
      <c r="C17" s="128">
        <v>268</v>
      </c>
      <c r="D17" s="284" t="s">
        <v>47</v>
      </c>
      <c r="E17" s="168">
        <v>10000</v>
      </c>
      <c r="F17" s="160" t="s">
        <v>102</v>
      </c>
      <c r="G17" s="160" t="s">
        <v>117</v>
      </c>
      <c r="H17" s="160" t="s">
        <v>111</v>
      </c>
      <c r="I17" s="166">
        <v>44312</v>
      </c>
      <c r="J17" s="165" t="s">
        <v>125</v>
      </c>
      <c r="K17" s="271"/>
    </row>
    <row r="18" spans="1:11" ht="25.5" x14ac:dyDescent="0.2">
      <c r="A18" s="276">
        <v>5</v>
      </c>
      <c r="B18" s="276">
        <v>1</v>
      </c>
      <c r="C18" s="277">
        <v>268</v>
      </c>
      <c r="D18" s="280" t="s">
        <v>70</v>
      </c>
      <c r="E18" s="281">
        <v>2500</v>
      </c>
      <c r="F18" s="276" t="s">
        <v>102</v>
      </c>
      <c r="G18" s="276" t="s">
        <v>117</v>
      </c>
      <c r="H18" s="276" t="s">
        <v>111</v>
      </c>
      <c r="I18" s="285">
        <v>44312</v>
      </c>
      <c r="J18" s="279" t="s">
        <v>125</v>
      </c>
      <c r="K18" s="271"/>
    </row>
    <row r="19" spans="1:11" ht="24" customHeight="1" x14ac:dyDescent="0.2">
      <c r="A19" s="160">
        <v>5</v>
      </c>
      <c r="B19" s="160">
        <v>2</v>
      </c>
      <c r="C19" s="128">
        <v>289</v>
      </c>
      <c r="D19" s="284" t="s">
        <v>49</v>
      </c>
      <c r="E19" s="168">
        <v>6250</v>
      </c>
      <c r="F19" s="160" t="s">
        <v>102</v>
      </c>
      <c r="G19" s="160" t="s">
        <v>117</v>
      </c>
      <c r="H19" s="160" t="s">
        <v>111</v>
      </c>
      <c r="I19" s="166">
        <v>44312</v>
      </c>
      <c r="J19" s="165" t="s">
        <v>125</v>
      </c>
      <c r="K19" s="271"/>
    </row>
    <row r="20" spans="1:11" ht="24.75" customHeight="1" x14ac:dyDescent="0.2">
      <c r="A20" s="160">
        <v>5</v>
      </c>
      <c r="B20" s="160">
        <v>2</v>
      </c>
      <c r="C20" s="128">
        <v>291</v>
      </c>
      <c r="D20" s="284" t="s">
        <v>51</v>
      </c>
      <c r="E20" s="168">
        <v>3500</v>
      </c>
      <c r="F20" s="160" t="s">
        <v>102</v>
      </c>
      <c r="G20" s="160" t="s">
        <v>117</v>
      </c>
      <c r="H20" s="160" t="s">
        <v>111</v>
      </c>
      <c r="I20" s="166">
        <v>44312</v>
      </c>
      <c r="J20" s="165" t="s">
        <v>125</v>
      </c>
      <c r="K20" s="271"/>
    </row>
    <row r="21" spans="1:11" ht="38.25" x14ac:dyDescent="0.25">
      <c r="A21" s="160">
        <v>2</v>
      </c>
      <c r="B21" s="160">
        <v>1</v>
      </c>
      <c r="C21" s="128">
        <v>294</v>
      </c>
      <c r="D21" s="167" t="s">
        <v>64</v>
      </c>
      <c r="E21" s="168">
        <v>7500</v>
      </c>
      <c r="F21" s="160" t="s">
        <v>106</v>
      </c>
      <c r="G21" s="160" t="s">
        <v>111</v>
      </c>
      <c r="H21" s="160" t="s">
        <v>107</v>
      </c>
      <c r="I21" s="166">
        <v>44351</v>
      </c>
      <c r="J21" s="165" t="s">
        <v>128</v>
      </c>
      <c r="K21" s="127"/>
    </row>
    <row r="22" spans="1:11" ht="38.25" x14ac:dyDescent="0.25">
      <c r="A22" s="276">
        <v>2</v>
      </c>
      <c r="B22" s="276">
        <v>5</v>
      </c>
      <c r="C22" s="277">
        <v>294</v>
      </c>
      <c r="D22" s="286" t="s">
        <v>65</v>
      </c>
      <c r="E22" s="287">
        <v>6524</v>
      </c>
      <c r="F22" s="276" t="s">
        <v>102</v>
      </c>
      <c r="G22" s="276" t="s">
        <v>111</v>
      </c>
      <c r="H22" s="276" t="s">
        <v>111</v>
      </c>
      <c r="I22" s="285">
        <v>44312</v>
      </c>
      <c r="J22" s="279" t="s">
        <v>125</v>
      </c>
      <c r="K22" s="127"/>
    </row>
  </sheetData>
  <mergeCells count="6">
    <mergeCell ref="J15:J16"/>
    <mergeCell ref="K15:K20"/>
    <mergeCell ref="F15:F16"/>
    <mergeCell ref="G15:G16"/>
    <mergeCell ref="H15:H16"/>
    <mergeCell ref="I15:I1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4"/>
  <sheetViews>
    <sheetView tabSelected="1" workbookViewId="0">
      <pane ySplit="1" topLeftCell="A14" activePane="bottomLeft" state="frozen"/>
      <selection pane="bottomLeft" activeCell="G18" sqref="G18"/>
    </sheetView>
  </sheetViews>
  <sheetFormatPr baseColWidth="10" defaultRowHeight="15" x14ac:dyDescent="0.25"/>
  <cols>
    <col min="1" max="1" width="17.5703125" style="127" customWidth="1"/>
    <col min="2" max="5" width="11.42578125" style="127"/>
    <col min="6" max="6" width="11.42578125" style="141"/>
    <col min="7" max="7" width="19.7109375" style="127" customWidth="1"/>
    <col min="8" max="10" width="11.42578125" style="127"/>
    <col min="11" max="11" width="13.140625" style="127" customWidth="1"/>
    <col min="12" max="12" width="11.42578125" style="127"/>
    <col min="13" max="13" width="19.7109375" style="127" customWidth="1"/>
    <col min="14" max="16384" width="11.42578125" style="127"/>
  </cols>
  <sheetData>
    <row r="1" spans="1:14" ht="46.5" customHeight="1" x14ac:dyDescent="0.25">
      <c r="A1" s="3" t="s">
        <v>16</v>
      </c>
      <c r="B1" s="3" t="s">
        <v>54</v>
      </c>
      <c r="C1" s="14" t="s">
        <v>17</v>
      </c>
      <c r="D1" s="72" t="s">
        <v>59</v>
      </c>
      <c r="E1" s="14" t="s">
        <v>18</v>
      </c>
      <c r="F1" s="14" t="s">
        <v>19</v>
      </c>
      <c r="G1" s="58" t="s">
        <v>72</v>
      </c>
      <c r="H1" s="14" t="s">
        <v>20</v>
      </c>
      <c r="I1" s="15" t="s">
        <v>21</v>
      </c>
      <c r="J1" s="63" t="s">
        <v>22</v>
      </c>
      <c r="K1" s="4" t="s">
        <v>23</v>
      </c>
      <c r="L1" s="4" t="s">
        <v>87</v>
      </c>
      <c r="M1" s="4" t="s">
        <v>88</v>
      </c>
    </row>
    <row r="2" spans="1:14" ht="90" customHeight="1" x14ac:dyDescent="0.25">
      <c r="A2" s="5" t="s">
        <v>34</v>
      </c>
      <c r="B2" s="5">
        <v>69</v>
      </c>
      <c r="C2" s="29">
        <v>5</v>
      </c>
      <c r="D2" s="74" t="s">
        <v>61</v>
      </c>
      <c r="E2" s="11">
        <v>200</v>
      </c>
      <c r="F2" s="140">
        <v>211</v>
      </c>
      <c r="G2" s="59" t="s">
        <v>56</v>
      </c>
      <c r="H2" s="11" t="s">
        <v>46</v>
      </c>
      <c r="I2" s="128">
        <v>200</v>
      </c>
      <c r="J2" s="129">
        <v>100</v>
      </c>
      <c r="K2" s="122">
        <f>(I2*J2)</f>
        <v>20000</v>
      </c>
      <c r="L2" s="130">
        <v>5500</v>
      </c>
      <c r="M2" s="125" t="s">
        <v>91</v>
      </c>
      <c r="N2" s="274" t="s">
        <v>97</v>
      </c>
    </row>
    <row r="3" spans="1:14" ht="30" x14ac:dyDescent="0.25">
      <c r="J3" s="133" t="s">
        <v>89</v>
      </c>
      <c r="K3" s="134">
        <f>(K2-L9)</f>
        <v>7209</v>
      </c>
      <c r="L3" s="132">
        <v>87</v>
      </c>
      <c r="M3" s="126" t="s">
        <v>96</v>
      </c>
      <c r="N3" s="274"/>
    </row>
    <row r="4" spans="1:14" ht="30" x14ac:dyDescent="0.25">
      <c r="L4" s="132">
        <v>2499</v>
      </c>
      <c r="M4" s="126" t="s">
        <v>139</v>
      </c>
    </row>
    <row r="5" spans="1:14" ht="30" x14ac:dyDescent="0.25">
      <c r="L5" s="132">
        <v>2400</v>
      </c>
      <c r="M5" s="126" t="s">
        <v>167</v>
      </c>
    </row>
    <row r="6" spans="1:14" ht="30" x14ac:dyDescent="0.25">
      <c r="L6" s="132">
        <v>680</v>
      </c>
      <c r="M6" s="126" t="s">
        <v>169</v>
      </c>
    </row>
    <row r="7" spans="1:14" ht="30" x14ac:dyDescent="0.25">
      <c r="L7" s="126">
        <v>1625</v>
      </c>
      <c r="M7" s="126" t="s">
        <v>168</v>
      </c>
    </row>
    <row r="8" spans="1:14" x14ac:dyDescent="0.25">
      <c r="L8" s="126"/>
      <c r="M8" s="126"/>
    </row>
    <row r="9" spans="1:14" x14ac:dyDescent="0.25">
      <c r="L9" s="135">
        <f>SUM(L2:L8)</f>
        <v>12791</v>
      </c>
      <c r="M9" s="133" t="s">
        <v>55</v>
      </c>
    </row>
    <row r="14" spans="1:14" ht="30" x14ac:dyDescent="0.25">
      <c r="A14" s="5" t="s">
        <v>34</v>
      </c>
      <c r="B14" s="5">
        <v>22</v>
      </c>
      <c r="C14" s="29">
        <v>5</v>
      </c>
      <c r="D14" s="74" t="s">
        <v>60</v>
      </c>
      <c r="E14" s="11">
        <v>100</v>
      </c>
      <c r="F14" s="140">
        <v>133</v>
      </c>
      <c r="G14" s="59" t="s">
        <v>32</v>
      </c>
      <c r="H14" s="11" t="s">
        <v>45</v>
      </c>
      <c r="I14" s="11">
        <v>70</v>
      </c>
      <c r="J14" s="37">
        <v>420</v>
      </c>
      <c r="K14" s="131">
        <f>(I14*J14)</f>
        <v>29400</v>
      </c>
      <c r="L14" s="143">
        <v>859</v>
      </c>
      <c r="M14" s="126" t="s">
        <v>95</v>
      </c>
    </row>
    <row r="15" spans="1:14" x14ac:dyDescent="0.25">
      <c r="J15" s="133" t="s">
        <v>89</v>
      </c>
      <c r="K15" s="137">
        <f>(K14-L25)</f>
        <v>24708</v>
      </c>
      <c r="L15" s="132">
        <v>999</v>
      </c>
      <c r="M15" s="126" t="s">
        <v>94</v>
      </c>
    </row>
    <row r="16" spans="1:14" x14ac:dyDescent="0.25">
      <c r="L16" s="132">
        <v>399</v>
      </c>
      <c r="M16" s="126" t="s">
        <v>93</v>
      </c>
    </row>
    <row r="17" spans="1:13" ht="30" x14ac:dyDescent="0.25">
      <c r="L17" s="132">
        <v>982</v>
      </c>
      <c r="M17" s="126" t="s">
        <v>92</v>
      </c>
    </row>
    <row r="18" spans="1:13" ht="30" x14ac:dyDescent="0.25">
      <c r="L18" s="143">
        <v>84</v>
      </c>
      <c r="M18" s="126" t="s">
        <v>99</v>
      </c>
    </row>
    <row r="19" spans="1:13" x14ac:dyDescent="0.25">
      <c r="L19" s="132">
        <v>571</v>
      </c>
      <c r="M19" s="126" t="s">
        <v>163</v>
      </c>
    </row>
    <row r="20" spans="1:13" x14ac:dyDescent="0.25">
      <c r="L20" s="132"/>
      <c r="M20" s="126" t="s">
        <v>164</v>
      </c>
    </row>
    <row r="21" spans="1:13" x14ac:dyDescent="0.25">
      <c r="L21" s="132"/>
      <c r="M21" s="126" t="s">
        <v>166</v>
      </c>
    </row>
    <row r="22" spans="1:13" x14ac:dyDescent="0.25">
      <c r="L22" s="132">
        <v>630</v>
      </c>
      <c r="M22" s="126" t="s">
        <v>165</v>
      </c>
    </row>
    <row r="23" spans="1:13" x14ac:dyDescent="0.25">
      <c r="L23" s="132">
        <v>84</v>
      </c>
      <c r="M23" s="126" t="s">
        <v>161</v>
      </c>
    </row>
    <row r="24" spans="1:13" x14ac:dyDescent="0.25">
      <c r="L24" s="132">
        <v>84</v>
      </c>
      <c r="M24" s="126" t="s">
        <v>162</v>
      </c>
    </row>
    <row r="25" spans="1:13" x14ac:dyDescent="0.25">
      <c r="L25" s="135">
        <f>SUM(L14:L24)</f>
        <v>4692</v>
      </c>
      <c r="M25" s="133" t="s">
        <v>55</v>
      </c>
    </row>
    <row r="26" spans="1:13" x14ac:dyDescent="0.25">
      <c r="L26" s="136"/>
      <c r="M26" s="136"/>
    </row>
    <row r="30" spans="1:13" ht="75" x14ac:dyDescent="0.25">
      <c r="A30" s="5" t="s">
        <v>34</v>
      </c>
      <c r="B30" s="6">
        <v>145</v>
      </c>
      <c r="C30" s="29">
        <v>2</v>
      </c>
      <c r="D30" s="74" t="s">
        <v>60</v>
      </c>
      <c r="E30" s="6">
        <v>200</v>
      </c>
      <c r="F30" s="11">
        <v>294</v>
      </c>
      <c r="G30" s="177" t="s">
        <v>64</v>
      </c>
      <c r="H30" s="11" t="s">
        <v>37</v>
      </c>
      <c r="I30" s="6">
        <v>500</v>
      </c>
      <c r="J30" s="38">
        <v>15</v>
      </c>
      <c r="K30" s="131">
        <f>(I30*J30)</f>
        <v>7500</v>
      </c>
      <c r="L30" s="138">
        <v>226</v>
      </c>
      <c r="M30" s="139" t="s">
        <v>98</v>
      </c>
    </row>
    <row r="31" spans="1:13" x14ac:dyDescent="0.25">
      <c r="J31" s="133" t="s">
        <v>89</v>
      </c>
      <c r="K31" s="137">
        <f>(K30-L30)</f>
        <v>7274</v>
      </c>
    </row>
    <row r="32" spans="1:13" x14ac:dyDescent="0.25">
      <c r="J32" s="194"/>
      <c r="K32" s="195"/>
    </row>
    <row r="33" spans="1:14" x14ac:dyDescent="0.25">
      <c r="J33" s="194"/>
      <c r="K33" s="195"/>
    </row>
    <row r="36" spans="1:14" ht="45" x14ac:dyDescent="0.25">
      <c r="A36" s="5" t="s">
        <v>34</v>
      </c>
      <c r="B36" s="5">
        <v>8</v>
      </c>
      <c r="C36" s="29">
        <v>2</v>
      </c>
      <c r="D36" s="74" t="s">
        <v>60</v>
      </c>
      <c r="E36" s="6">
        <v>100</v>
      </c>
      <c r="F36" s="11">
        <v>114</v>
      </c>
      <c r="G36" s="172" t="s">
        <v>66</v>
      </c>
      <c r="H36" s="30" t="s">
        <v>35</v>
      </c>
      <c r="I36" s="7">
        <v>50</v>
      </c>
      <c r="J36" s="38">
        <v>100</v>
      </c>
      <c r="K36" s="32">
        <f>J36*I36</f>
        <v>5000</v>
      </c>
      <c r="L36" s="199">
        <v>406</v>
      </c>
      <c r="M36" s="126" t="s">
        <v>135</v>
      </c>
      <c r="N36" s="196"/>
    </row>
    <row r="37" spans="1:14" x14ac:dyDescent="0.25">
      <c r="A37" s="184"/>
      <c r="B37" s="184"/>
      <c r="C37" s="185"/>
      <c r="D37" s="186"/>
      <c r="E37" s="187"/>
      <c r="F37" s="198"/>
      <c r="G37" s="188"/>
      <c r="H37" s="189"/>
      <c r="I37" s="189"/>
      <c r="J37" s="133" t="s">
        <v>89</v>
      </c>
      <c r="K37" s="137">
        <f>(K36-L36)</f>
        <v>4594</v>
      </c>
      <c r="L37" s="191"/>
      <c r="M37" s="192"/>
      <c r="N37" s="197"/>
    </row>
    <row r="38" spans="1:14" x14ac:dyDescent="0.25">
      <c r="A38" s="184"/>
      <c r="B38" s="184"/>
      <c r="C38" s="185"/>
      <c r="D38" s="186"/>
      <c r="E38" s="187"/>
      <c r="F38" s="198"/>
      <c r="G38" s="188"/>
      <c r="H38" s="189"/>
      <c r="I38" s="189"/>
      <c r="J38" s="189"/>
      <c r="K38" s="190"/>
      <c r="L38" s="191"/>
      <c r="M38" s="192"/>
      <c r="N38" s="197"/>
    </row>
    <row r="39" spans="1:14" x14ac:dyDescent="0.25">
      <c r="A39" s="184"/>
      <c r="B39" s="184"/>
      <c r="C39" s="185"/>
      <c r="D39" s="186"/>
      <c r="E39" s="187"/>
      <c r="F39" s="198"/>
      <c r="G39" s="188"/>
      <c r="H39" s="189"/>
      <c r="I39" s="189"/>
      <c r="J39" s="189"/>
      <c r="K39" s="190"/>
      <c r="L39" s="191"/>
      <c r="M39" s="192"/>
      <c r="N39" s="197"/>
    </row>
    <row r="40" spans="1:14" ht="45" x14ac:dyDescent="0.25">
      <c r="A40" s="216" t="s">
        <v>34</v>
      </c>
      <c r="B40" s="216">
        <v>113</v>
      </c>
      <c r="C40" s="217">
        <v>5</v>
      </c>
      <c r="D40" s="218" t="s">
        <v>60</v>
      </c>
      <c r="E40" s="170">
        <v>200</v>
      </c>
      <c r="F40" s="170">
        <v>284</v>
      </c>
      <c r="G40" s="219" t="s">
        <v>47</v>
      </c>
      <c r="H40" s="170">
        <v>25</v>
      </c>
      <c r="I40" s="220">
        <v>25</v>
      </c>
      <c r="J40" s="131">
        <v>400</v>
      </c>
      <c r="K40" s="32">
        <f>J40*I40</f>
        <v>10000</v>
      </c>
      <c r="L40" s="132">
        <v>225</v>
      </c>
      <c r="M40" s="126" t="s">
        <v>138</v>
      </c>
    </row>
    <row r="41" spans="1:14" x14ac:dyDescent="0.25">
      <c r="A41" s="221"/>
      <c r="B41" s="221"/>
      <c r="C41" s="222"/>
      <c r="D41" s="223"/>
      <c r="E41" s="224"/>
      <c r="F41" s="222"/>
      <c r="G41" s="225"/>
      <c r="H41" s="226"/>
      <c r="I41" s="226"/>
      <c r="J41" s="226"/>
      <c r="K41" s="133" t="s">
        <v>89</v>
      </c>
      <c r="L41" s="137">
        <f>(K40-L40)</f>
        <v>9775</v>
      </c>
      <c r="M41" s="192"/>
      <c r="N41" s="197"/>
    </row>
    <row r="42" spans="1:14" x14ac:dyDescent="0.25">
      <c r="A42" s="184"/>
      <c r="B42" s="184"/>
      <c r="C42" s="185"/>
      <c r="D42" s="186"/>
      <c r="E42" s="187"/>
      <c r="F42" s="198"/>
      <c r="G42" s="188"/>
      <c r="H42" s="189"/>
      <c r="I42" s="189"/>
      <c r="J42" s="189"/>
      <c r="K42" s="190"/>
      <c r="L42" s="191"/>
      <c r="M42" s="192"/>
      <c r="N42" s="197"/>
    </row>
    <row r="43" spans="1:14" x14ac:dyDescent="0.25">
      <c r="A43" s="184"/>
      <c r="B43" s="184"/>
      <c r="C43" s="185"/>
      <c r="D43" s="186"/>
      <c r="E43" s="187"/>
      <c r="F43" s="198"/>
      <c r="G43" s="188"/>
      <c r="H43" s="189"/>
      <c r="I43" s="189"/>
      <c r="J43" s="189"/>
      <c r="K43" s="190"/>
      <c r="L43" s="191"/>
      <c r="M43" s="192"/>
      <c r="N43" s="197"/>
    </row>
    <row r="44" spans="1:14" x14ac:dyDescent="0.25">
      <c r="A44" s="184"/>
      <c r="B44" s="184"/>
      <c r="C44" s="185"/>
      <c r="D44" s="186"/>
      <c r="E44" s="187"/>
      <c r="F44" s="198"/>
      <c r="G44" s="188"/>
      <c r="H44" s="189"/>
      <c r="I44" s="189"/>
      <c r="J44" s="189"/>
      <c r="K44" s="190"/>
      <c r="L44" s="191"/>
      <c r="M44" s="192"/>
      <c r="N44" s="197"/>
    </row>
    <row r="45" spans="1:14" x14ac:dyDescent="0.25">
      <c r="A45" s="184"/>
      <c r="B45" s="184"/>
      <c r="C45" s="185"/>
      <c r="D45" s="186"/>
      <c r="E45" s="187"/>
      <c r="F45" s="198"/>
      <c r="G45" s="188"/>
      <c r="H45" s="189"/>
      <c r="I45" s="189"/>
      <c r="J45" s="189"/>
      <c r="K45" s="190"/>
      <c r="L45" s="191"/>
      <c r="M45" s="192"/>
      <c r="N45" s="197"/>
    </row>
    <row r="46" spans="1:14" x14ac:dyDescent="0.25">
      <c r="A46" s="184"/>
      <c r="B46" s="184"/>
      <c r="C46" s="185"/>
      <c r="D46" s="186"/>
      <c r="E46" s="187"/>
      <c r="F46" s="198"/>
      <c r="G46" s="188"/>
      <c r="H46" s="189"/>
      <c r="I46" s="189"/>
      <c r="J46" s="189"/>
      <c r="K46" s="190"/>
      <c r="L46" s="191"/>
      <c r="M46" s="192"/>
      <c r="N46" s="197"/>
    </row>
    <row r="47" spans="1:14" x14ac:dyDescent="0.25">
      <c r="A47" s="184"/>
      <c r="B47" s="184"/>
      <c r="C47" s="185"/>
      <c r="D47" s="186"/>
      <c r="E47" s="187"/>
      <c r="F47" s="198"/>
      <c r="G47" s="188"/>
      <c r="H47" s="189"/>
      <c r="I47" s="189"/>
      <c r="J47" s="189"/>
      <c r="K47" s="190"/>
      <c r="L47" s="191"/>
      <c r="M47" s="192"/>
      <c r="N47" s="197"/>
    </row>
    <row r="48" spans="1:14" x14ac:dyDescent="0.25">
      <c r="A48" s="184"/>
      <c r="B48" s="184"/>
      <c r="C48" s="185"/>
      <c r="D48" s="186"/>
      <c r="E48" s="187"/>
      <c r="F48" s="198"/>
      <c r="G48" s="188"/>
      <c r="H48" s="189"/>
      <c r="I48" s="189"/>
      <c r="J48" s="189"/>
      <c r="K48" s="190"/>
      <c r="L48" s="191"/>
      <c r="M48" s="192"/>
      <c r="N48" s="197"/>
    </row>
    <row r="49" spans="1:14" x14ac:dyDescent="0.25">
      <c r="A49" s="184"/>
      <c r="B49" s="184"/>
      <c r="C49" s="185"/>
      <c r="D49" s="186"/>
      <c r="E49" s="187"/>
      <c r="F49" s="198"/>
      <c r="G49" s="188"/>
      <c r="H49" s="189"/>
      <c r="I49" s="189"/>
      <c r="J49" s="189"/>
      <c r="K49" s="190"/>
      <c r="L49" s="191"/>
      <c r="M49" s="192"/>
      <c r="N49" s="197"/>
    </row>
    <row r="50" spans="1:14" x14ac:dyDescent="0.25">
      <c r="A50" s="184"/>
      <c r="B50" s="184"/>
      <c r="C50" s="185"/>
      <c r="D50" s="186"/>
      <c r="E50" s="187"/>
      <c r="F50" s="198"/>
      <c r="G50" s="188"/>
      <c r="H50" s="189"/>
      <c r="I50" s="189"/>
      <c r="J50" s="189"/>
      <c r="K50" s="190"/>
      <c r="L50" s="191"/>
      <c r="M50" s="192"/>
      <c r="N50" s="197"/>
    </row>
    <row r="51" spans="1:14" x14ac:dyDescent="0.25">
      <c r="A51" s="193" t="s">
        <v>131</v>
      </c>
      <c r="B51" s="193" t="s">
        <v>134</v>
      </c>
      <c r="C51" s="193" t="s">
        <v>55</v>
      </c>
      <c r="N51" s="196"/>
    </row>
    <row r="52" spans="1:14" ht="21" customHeight="1" x14ac:dyDescent="0.25">
      <c r="A52" s="126" t="s">
        <v>132</v>
      </c>
      <c r="B52" s="126"/>
      <c r="C52" s="126"/>
    </row>
    <row r="53" spans="1:14" ht="21" customHeight="1" x14ac:dyDescent="0.25">
      <c r="A53" s="126" t="s">
        <v>133</v>
      </c>
      <c r="B53" s="126"/>
      <c r="C53" s="126"/>
    </row>
    <row r="54" spans="1:14" x14ac:dyDescent="0.25">
      <c r="A54" s="275" t="s">
        <v>4</v>
      </c>
      <c r="B54" s="275"/>
      <c r="C54" s="215">
        <v>7800</v>
      </c>
    </row>
  </sheetData>
  <mergeCells count="2">
    <mergeCell ref="N2:N3"/>
    <mergeCell ref="A54:B54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1" topLeftCell="A11" activePane="bottomLeft" state="frozen"/>
      <selection pane="bottomLeft" activeCell="G4" sqref="A4:G4"/>
    </sheetView>
  </sheetViews>
  <sheetFormatPr baseColWidth="10" defaultRowHeight="15" x14ac:dyDescent="0.25"/>
  <cols>
    <col min="1" max="1" width="19.5703125" customWidth="1"/>
    <col min="2" max="2" width="19.42578125" customWidth="1"/>
    <col min="3" max="3" width="12" bestFit="1" customWidth="1"/>
    <col min="4" max="5" width="26.5703125" customWidth="1"/>
    <col min="6" max="6" width="24.5703125" customWidth="1"/>
    <col min="7" max="7" width="13" bestFit="1" customWidth="1"/>
    <col min="10" max="10" width="25.85546875" customWidth="1"/>
  </cols>
  <sheetData>
    <row r="1" spans="1:10" ht="27" customHeight="1" x14ac:dyDescent="0.25">
      <c r="A1" s="233" t="s">
        <v>141</v>
      </c>
      <c r="B1" s="233" t="s">
        <v>142</v>
      </c>
      <c r="C1" s="233" t="s">
        <v>143</v>
      </c>
      <c r="D1" s="233" t="s">
        <v>144</v>
      </c>
      <c r="E1" s="233" t="s">
        <v>145</v>
      </c>
      <c r="F1" s="233" t="s">
        <v>146</v>
      </c>
      <c r="G1" s="233" t="s">
        <v>143</v>
      </c>
      <c r="J1" s="207"/>
    </row>
    <row r="2" spans="1:10" ht="90" x14ac:dyDescent="0.25">
      <c r="A2" s="126" t="s">
        <v>68</v>
      </c>
      <c r="B2" s="126">
        <v>189</v>
      </c>
      <c r="C2" s="229">
        <v>15000</v>
      </c>
      <c r="D2" s="126" t="s">
        <v>158</v>
      </c>
      <c r="E2" s="228">
        <v>189</v>
      </c>
      <c r="F2" s="228">
        <v>214</v>
      </c>
      <c r="G2" s="241">
        <v>600</v>
      </c>
    </row>
    <row r="3" spans="1:10" ht="90" x14ac:dyDescent="0.25">
      <c r="A3" s="126" t="s">
        <v>68</v>
      </c>
      <c r="B3" s="126">
        <v>189</v>
      </c>
      <c r="C3" s="229">
        <v>15000</v>
      </c>
      <c r="D3" s="126" t="s">
        <v>136</v>
      </c>
      <c r="E3" s="228">
        <v>189</v>
      </c>
      <c r="F3" s="228">
        <v>122</v>
      </c>
      <c r="G3" s="241">
        <v>9000</v>
      </c>
    </row>
    <row r="4" spans="1:10" ht="90" x14ac:dyDescent="0.25">
      <c r="A4" s="126" t="s">
        <v>68</v>
      </c>
      <c r="B4" s="126">
        <v>189</v>
      </c>
      <c r="C4" s="229">
        <v>15000</v>
      </c>
      <c r="D4" s="126" t="s">
        <v>149</v>
      </c>
      <c r="E4" s="228">
        <v>189</v>
      </c>
      <c r="F4" s="228">
        <v>284</v>
      </c>
      <c r="G4" s="241">
        <v>5400</v>
      </c>
    </row>
    <row r="5" spans="1:10" ht="24" customHeight="1" x14ac:dyDescent="0.25">
      <c r="A5" s="228"/>
      <c r="B5" s="228"/>
      <c r="C5" s="228"/>
      <c r="D5" s="228"/>
      <c r="E5" s="228"/>
      <c r="F5" s="231" t="s">
        <v>147</v>
      </c>
      <c r="G5" s="232">
        <f>SUM(G2:G4)</f>
        <v>15000</v>
      </c>
    </row>
    <row r="6" spans="1:10" x14ac:dyDescent="0.25">
      <c r="A6" s="228"/>
      <c r="B6" s="228"/>
      <c r="C6" s="228"/>
      <c r="D6" s="228"/>
      <c r="E6" s="228"/>
      <c r="F6" s="228"/>
      <c r="G6" s="229"/>
    </row>
    <row r="7" spans="1:10" x14ac:dyDescent="0.25">
      <c r="A7" s="228"/>
      <c r="B7" s="228"/>
      <c r="C7" s="228"/>
      <c r="D7" s="228"/>
      <c r="E7" s="228"/>
      <c r="F7" s="228"/>
      <c r="G7" s="229"/>
    </row>
    <row r="8" spans="1:10" ht="90" x14ac:dyDescent="0.25">
      <c r="A8" s="126" t="s">
        <v>69</v>
      </c>
      <c r="B8" s="126">
        <v>243</v>
      </c>
      <c r="C8" s="229">
        <v>2250</v>
      </c>
      <c r="D8" s="126" t="s">
        <v>149</v>
      </c>
      <c r="E8" s="228">
        <v>243</v>
      </c>
      <c r="F8" s="228">
        <v>284</v>
      </c>
      <c r="G8" s="241">
        <v>2250</v>
      </c>
    </row>
    <row r="9" spans="1:10" ht="45" x14ac:dyDescent="0.25">
      <c r="A9" s="126" t="s">
        <v>150</v>
      </c>
      <c r="B9" s="228">
        <v>268</v>
      </c>
      <c r="C9" s="229">
        <v>10000</v>
      </c>
      <c r="D9" s="126" t="s">
        <v>149</v>
      </c>
      <c r="E9" s="228">
        <v>268</v>
      </c>
      <c r="F9" s="228">
        <v>284</v>
      </c>
      <c r="G9" s="241">
        <v>2350</v>
      </c>
    </row>
    <row r="10" spans="1:10" ht="39" x14ac:dyDescent="0.25">
      <c r="A10" s="228" t="s">
        <v>152</v>
      </c>
      <c r="B10" s="228">
        <v>114</v>
      </c>
      <c r="C10" s="234">
        <v>5000</v>
      </c>
      <c r="D10" s="235" t="s">
        <v>153</v>
      </c>
      <c r="E10" s="234">
        <v>114</v>
      </c>
      <c r="F10" s="228">
        <v>268</v>
      </c>
      <c r="G10" s="242">
        <v>300</v>
      </c>
    </row>
    <row r="11" spans="1:10" x14ac:dyDescent="0.25">
      <c r="A11" s="228"/>
      <c r="B11" s="228"/>
      <c r="C11" s="228"/>
      <c r="D11" s="228"/>
      <c r="E11" s="228"/>
      <c r="F11" s="228"/>
      <c r="G11" s="229"/>
    </row>
    <row r="12" spans="1:10" x14ac:dyDescent="0.25">
      <c r="A12" s="228"/>
      <c r="B12" s="228"/>
      <c r="C12" s="228"/>
      <c r="D12" s="228"/>
      <c r="E12" s="228"/>
      <c r="F12" s="228"/>
      <c r="G12" s="229"/>
    </row>
    <row r="13" spans="1:10" x14ac:dyDescent="0.25">
      <c r="A13" s="228"/>
      <c r="B13" s="228"/>
      <c r="C13" s="228"/>
      <c r="D13" s="228"/>
      <c r="E13" s="228"/>
      <c r="F13" s="228"/>
      <c r="G13" s="228"/>
    </row>
    <row r="14" spans="1:10" x14ac:dyDescent="0.25">
      <c r="A14" s="228"/>
      <c r="B14" s="228"/>
      <c r="C14" s="228"/>
      <c r="D14" s="228"/>
      <c r="E14" s="228"/>
      <c r="F14" s="228"/>
      <c r="G14" s="228"/>
    </row>
    <row r="15" spans="1:10" x14ac:dyDescent="0.25">
      <c r="A15" s="228"/>
      <c r="B15" s="228"/>
      <c r="C15" s="228"/>
      <c r="D15" s="228"/>
      <c r="E15" s="228"/>
      <c r="F15" s="228"/>
      <c r="G15" s="228"/>
    </row>
    <row r="16" spans="1:10" x14ac:dyDescent="0.25">
      <c r="B16" s="207"/>
      <c r="C16" s="229"/>
      <c r="D16" s="228"/>
      <c r="E16" s="228"/>
      <c r="F16" s="228"/>
      <c r="G16" s="228"/>
    </row>
    <row r="17" spans="1:7" x14ac:dyDescent="0.25">
      <c r="A17" s="228"/>
      <c r="B17" s="228"/>
      <c r="C17" s="230"/>
      <c r="D17" s="228"/>
      <c r="E17" s="228"/>
      <c r="F17" s="228"/>
      <c r="G17" s="228"/>
    </row>
    <row r="18" spans="1:7" x14ac:dyDescent="0.25">
      <c r="A18" s="228"/>
      <c r="B18" s="228"/>
      <c r="C18" s="228"/>
      <c r="D18" s="228"/>
      <c r="E18" s="228"/>
      <c r="F18" s="228"/>
      <c r="G18" s="228"/>
    </row>
  </sheetData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DIRVS</vt:lpstr>
      <vt:lpstr>PAC con modificaciones</vt:lpstr>
      <vt:lpstr>2° cuatrimestre</vt:lpstr>
      <vt:lpstr>Gastos</vt:lpstr>
      <vt:lpstr>Modificaciones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Desiree Maldonado</dc:creator>
  <cp:lastModifiedBy>Lucia Pinzon</cp:lastModifiedBy>
  <cp:lastPrinted>2021-04-07T20:22:39Z</cp:lastPrinted>
  <dcterms:created xsi:type="dcterms:W3CDTF">2020-11-30T15:01:25Z</dcterms:created>
  <dcterms:modified xsi:type="dcterms:W3CDTF">2021-06-14T16:11:58Z</dcterms:modified>
</cp:coreProperties>
</file>